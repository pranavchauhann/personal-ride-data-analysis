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rip Data" sheetId="2" state="visible" r:id="rId4"/>
    <sheet name="Insights" sheetId="3" state="visible" r:id="rId5"/>
  </sheets>
  <definedNames>
    <definedName function="false" hidden="false" localSheetId="0" name="_xlnm.Print_Area" vbProcedure="false">Dashboard!$A$1:$M$56</definedName>
    <definedName function="false" hidden="false" localSheetId="1" name="_xlnm.Print_Area" vbProcedure="false">'Trip Data'!$A$1:$P$49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<sst xmlns="http://schemas.openxmlformats.org/spreadsheetml/2006/main" count="423" uniqueCount="151">
  <si>
    <t xml:space="preserve">Personal Ride-Data Analysis Dashboard</t>
  </si>
  <si>
    <t xml:space="preserve">Uber ride history — Sep 2024 to Aug 2025 (Bangalore)</t>
  </si>
  <si>
    <t xml:space="preserve">Total Trips Requested</t>
  </si>
  <si>
    <t xml:space="preserve">Completed Trips</t>
  </si>
  <si>
    <t xml:space="preserve">Cancellation Rate</t>
  </si>
  <si>
    <t xml:space="preserve">Total Spend (INR)</t>
  </si>
  <si>
    <t xml:space="preserve">Avg Fare per Trip (INR)</t>
  </si>
  <si>
    <t xml:space="preserve">Avg Wait — Completed (min)</t>
  </si>
  <si>
    <t xml:space="preserve">Avg Wait — Canceled (min)</t>
  </si>
  <si>
    <t xml:space="preserve">Home→Office Share</t>
  </si>
  <si>
    <t xml:space="preserve">Chart Data (feeds charts below — do not delete)</t>
  </si>
  <si>
    <t xml:space="preserve">Hour</t>
  </si>
  <si>
    <t xml:space="preserve">Month</t>
  </si>
  <si>
    <t xml:space="preserve">Trips</t>
  </si>
  <si>
    <t xml:space="preserve">Spend (INR)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</si>
  <si>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</si>
  <si>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</si>
  <si>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</si>
  <si>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</si>
  <si>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</si>
  <si>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</si>
  <si>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</si>
  <si>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</si>
  <si>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</si>
  <si>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</si>
  <si>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2025-08</t>
  </si>
  <si>
    <t xml:space="preserve">Vehicle Type</t>
  </si>
  <si>
    <t xml:space="preserve">Requests</t>
  </si>
  <si>
    <t xml:space="preserve">AUTO Agram</t>
  </si>
  <si>
    <t xml:space="preserve">Moto Saver</t>
  </si>
  <si>
    <t xml:space="preserve">Moto_short</t>
  </si>
  <si>
    <t xml:space="preserve">UberGo</t>
  </si>
  <si>
    <t xml:space="preserve">Pricing</t>
  </si>
  <si>
    <t xml:space="preserve">Avg Fare/Mile (INR)</t>
  </si>
  <si>
    <t xml:space="preserve">Non-Surge</t>
  </si>
  <si>
    <t xml:space="preserve">Surge</t>
  </si>
  <si>
    <t xml:space="preserve">Date</t>
  </si>
  <si>
    <t xml:space="preserve">Time</t>
  </si>
  <si>
    <t xml:space="preserve">Day of Week</t>
  </si>
  <si>
    <t xml:space="preserve">Status</t>
  </si>
  <si>
    <t xml:space="preserve">Distance (mi)</t>
  </si>
  <si>
    <t xml:space="preserve">Duration (min)</t>
  </si>
  <si>
    <t xml:space="preserve">Fare (INR)</t>
  </si>
  <si>
    <t xml:space="preserve">Surge Multiplier</t>
  </si>
  <si>
    <t xml:space="preserve">Is Surged</t>
  </si>
  <si>
    <t xml:space="preserve">ETA (min)</t>
  </si>
  <si>
    <t xml:space="preserve">Pickup Area</t>
  </si>
  <si>
    <t xml:space="preserve">Dropoff Area</t>
  </si>
  <si>
    <t xml:space="preserve">Fare per Mile (INR)</t>
  </si>
  <si>
    <t xml:space="preserve">2024-09-26</t>
  </si>
  <si>
    <t xml:space="preserve">09:49</t>
  </si>
  <si>
    <t xml:space="preserve">Thursday</t>
  </si>
  <si>
    <t xml:space="preserve">Rider Canceled</t>
  </si>
  <si>
    <t xml:space="preserve">Office</t>
  </si>
  <si>
    <t xml:space="preserve">09:55</t>
  </si>
  <si>
    <t xml:space="preserve">2024-09-27</t>
  </si>
  <si>
    <t xml:space="preserve">13:52</t>
  </si>
  <si>
    <t xml:space="preserve">Friday</t>
  </si>
  <si>
    <t xml:space="preserve">Completed</t>
  </si>
  <si>
    <t xml:space="preserve">Home Area</t>
  </si>
  <si>
    <t xml:space="preserve">2024-09-30</t>
  </si>
  <si>
    <t xml:space="preserve">09:56</t>
  </si>
  <si>
    <t xml:space="preserve">Monday</t>
  </si>
  <si>
    <t xml:space="preserve">2024-10-08</t>
  </si>
  <si>
    <t xml:space="preserve">09:34</t>
  </si>
  <si>
    <t xml:space="preserve">Tuesday</t>
  </si>
  <si>
    <t xml:space="preserve">Other</t>
  </si>
  <si>
    <t xml:space="preserve">2024-10-09</t>
  </si>
  <si>
    <t xml:space="preserve">09:54</t>
  </si>
  <si>
    <t xml:space="preserve">Wednesday</t>
  </si>
  <si>
    <t xml:space="preserve">2024-11-02</t>
  </si>
  <si>
    <t xml:space="preserve">21:54</t>
  </si>
  <si>
    <t xml:space="preserve">Saturday</t>
  </si>
  <si>
    <t xml:space="preserve">2024-11-12</t>
  </si>
  <si>
    <t xml:space="preserve">09:45</t>
  </si>
  <si>
    <t xml:space="preserve">2024-11-19</t>
  </si>
  <si>
    <t xml:space="preserve">09:08</t>
  </si>
  <si>
    <t xml:space="preserve">2024-12-02</t>
  </si>
  <si>
    <t xml:space="preserve">13:27</t>
  </si>
  <si>
    <t xml:space="preserve">2025-01-02</t>
  </si>
  <si>
    <t xml:space="preserve">08:24</t>
  </si>
  <si>
    <t xml:space="preserve">2025-01-06</t>
  </si>
  <si>
    <t xml:space="preserve">09:57</t>
  </si>
  <si>
    <t xml:space="preserve">2025-01-16</t>
  </si>
  <si>
    <t xml:space="preserve">13:31</t>
  </si>
  <si>
    <t xml:space="preserve">2025-01-22</t>
  </si>
  <si>
    <t xml:space="preserve">13:10</t>
  </si>
  <si>
    <t xml:space="preserve">2025-01-27</t>
  </si>
  <si>
    <t xml:space="preserve">2025-02-05</t>
  </si>
  <si>
    <t xml:space="preserve">10:06</t>
  </si>
  <si>
    <t xml:space="preserve">2025-02-06</t>
  </si>
  <si>
    <t xml:space="preserve">09:52</t>
  </si>
  <si>
    <t xml:space="preserve">2025-02-07</t>
  </si>
  <si>
    <t xml:space="preserve">13:58</t>
  </si>
  <si>
    <t xml:space="preserve">2025-02-10</t>
  </si>
  <si>
    <t xml:space="preserve">09:47</t>
  </si>
  <si>
    <t xml:space="preserve">2025-02-11</t>
  </si>
  <si>
    <t xml:space="preserve">12:23</t>
  </si>
  <si>
    <t xml:space="preserve">2025-02-12</t>
  </si>
  <si>
    <t xml:space="preserve">09:27</t>
  </si>
  <si>
    <t xml:space="preserve">2025-02-17</t>
  </si>
  <si>
    <t xml:space="preserve">09:32</t>
  </si>
  <si>
    <t xml:space="preserve">2025-02-19</t>
  </si>
  <si>
    <t xml:space="preserve">13:09</t>
  </si>
  <si>
    <t xml:space="preserve">2025-02-21</t>
  </si>
  <si>
    <t xml:space="preserve">13:20</t>
  </si>
  <si>
    <t xml:space="preserve">2025-02-22</t>
  </si>
  <si>
    <t xml:space="preserve">04:06</t>
  </si>
  <si>
    <t xml:space="preserve">2025-03-01</t>
  </si>
  <si>
    <t xml:space="preserve">10:51</t>
  </si>
  <si>
    <t xml:space="preserve">13:41</t>
  </si>
  <si>
    <t xml:space="preserve">2025-03-03</t>
  </si>
  <si>
    <t xml:space="preserve">09:01</t>
  </si>
  <si>
    <t xml:space="preserve">Unfulfilled</t>
  </si>
  <si>
    <t xml:space="preserve">09:43</t>
  </si>
  <si>
    <t xml:space="preserve">Driver Canceled</t>
  </si>
  <si>
    <t xml:space="preserve">2025-04-26</t>
  </si>
  <si>
    <t xml:space="preserve">22:22</t>
  </si>
  <si>
    <t xml:space="preserve">Vydehi/Vijayanagar</t>
  </si>
  <si>
    <t xml:space="preserve">23:18</t>
  </si>
  <si>
    <t xml:space="preserve">2025-04-27</t>
  </si>
  <si>
    <t xml:space="preserve">20:04</t>
  </si>
  <si>
    <t xml:space="preserve">Sunday</t>
  </si>
  <si>
    <t xml:space="preserve">2025-05-04</t>
  </si>
  <si>
    <t xml:space="preserve">21:19</t>
  </si>
  <si>
    <t xml:space="preserve">15:14</t>
  </si>
  <si>
    <t xml:space="preserve">2025-05-05</t>
  </si>
  <si>
    <t xml:space="preserve">00:34</t>
  </si>
  <si>
    <t xml:space="preserve">00:41</t>
  </si>
  <si>
    <t xml:space="preserve">2025-05-24</t>
  </si>
  <si>
    <t xml:space="preserve">23:59</t>
  </si>
  <si>
    <t xml:space="preserve">2025-05-25</t>
  </si>
  <si>
    <t xml:space="preserve">22:14</t>
  </si>
  <si>
    <t xml:space="preserve">22:15</t>
  </si>
  <si>
    <t xml:space="preserve">2025-06-01</t>
  </si>
  <si>
    <t xml:space="preserve">02:15</t>
  </si>
  <si>
    <t xml:space="preserve">21:43</t>
  </si>
  <si>
    <t xml:space="preserve">21:59</t>
  </si>
  <si>
    <t xml:space="preserve">2025-06-06</t>
  </si>
  <si>
    <t xml:space="preserve">2025-06-07</t>
  </si>
  <si>
    <t xml:space="preserve">17:51</t>
  </si>
  <si>
    <t xml:space="preserve">2025-08-04</t>
  </si>
  <si>
    <t xml:space="preserve">15:38</t>
  </si>
  <si>
    <t xml:space="preserve">Key Insights</t>
  </si>
  <si>
    <t xml:space="preserve">•  Commute-dominated usage: 19 of 27 completed trips (70%) started from the same residential area, and 15 of 27 (56%) ended at the same office building — this is primarily a home-to-office commute tool, not general-purpose travel.</t>
  </si>
  <si>
    <t xml:space="preserve">•  High cancellation rate driven by wait time: 36% of all 47 requested trips were canceled by the rider. Canceled trips had an average estimated wait of ~10.8 minutes, versus ~5.1 minutes for trips that were completed — wait time appears to be the dominant driver of cancellations.</t>
  </si>
  <si>
    <t xml:space="preserve">•  Peak usage at commute hours: rides cluster heavily around 9 AM and 1 PM, consistent with a morning office commute and a midday (lunch or return) trip.</t>
  </si>
  <si>
    <t xml:space="preserve">•  Cost-conscious vehicle choice: 70% of all requests were for 2-wheeler options (Moto Saver / Moto Short) rather than car options — the cheaper mode is strongly preferred for these short commute-distance trips.</t>
  </si>
  <si>
    <t xml:space="preserve">•  Surge pricing effect is real but modest: on a fare-per-mile basis, surge-tagged trips cost about 8% more per mile than non-surge trips (₹30.6/mi vs ₹28.3/mi) once trip mix is controlled for.</t>
  </si>
  <si>
    <t xml:space="preserve">•  Total spend: ₹1,536.90 across 27 completed trips (Sep 2024 – Aug 2025), averaging ₹56.92/trip — or ₹44.88/trip excluding one 21-mile outlier ride, which is more representative of the typical commute cost.</t>
  </si>
  <si>
    <t xml:space="preserve">•  Driver ratings given: averaged 4.69/5 across 26 rated trips, with only 2 one-star ratings — indicating generally positive driver experiences on this route.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</si>
</sst>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0.0%"/>
    <numFmt numFmtId="167" formatCode="\₹#,##0"/>
    <numFmt numFmtId="168" formatCode="0.0"/>
    <numFmt numFmtId="169" formatCode="\₹0.0"/>
    <numFmt numFmtId="170" formatCode="0.00"/>
    <numFmt numFmtId="171" formatCode="\₹#,##0.00"/>
    <numFmt numFmtId="172" formatCode="\₹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2D3D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22"/>
      <color rgb="FF1F2D3D"/>
      <name val="Arial"/>
      <family val="0"/>
      <charset val="1"/>
    </font>
    <font>
      <b val="true"/>
      <sz val="18"/>
      <color rgb="FF1F2D3D"/>
      <name val="Arial"/>
      <family val="0"/>
      <charset val="1"/>
    </font>
    <font>
      <i val="true"/>
      <sz val="9"/>
      <color rgb="FF999999"/>
      <name val="Arial"/>
      <family val="0"/>
      <charset val="1"/>
    </font>
    <font>
      <b val="true"/>
      <sz val="9"/>
      <color rgb="FF666666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5F0E1"/>
        <bgColor rgb="FFF9F9F9"/>
      </patternFill>
    </fill>
    <fill>
      <patternFill patternType="solid">
        <fgColor rgb="FF1F2D3D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0B0"/>
      </left>
      <right style="thin">
        <color rgb="FFD9D0B0"/>
      </right>
      <top style="thin">
        <color rgb="FFD9D0B0"/>
      </top>
      <bottom style="thin">
        <color rgb="FFD9D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D9D0B0"/>
      <rgbColor rgb="FF878787"/>
      <rgbColor rgb="FF9999FF"/>
      <rgbColor rgb="FFC0504D"/>
      <rgbColor rgb="FFF5F0E1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8064A2"/>
      <rgbColor rgb="FF999999"/>
      <rgbColor rgb="FF003366"/>
      <rgbColor rgb="FF4F81BD"/>
      <rgbColor rgb="FF003300"/>
      <rgbColor rgb="FF333300"/>
      <rgbColor rgb="FF993300"/>
      <rgbColor rgb="FF993366"/>
      <rgbColor rgb="FF333399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Completed Trips by Hour of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Dashboard!B13</c:f>
              <c:strCache>
                <c:ptCount val="1"/>
                <c:pt idx="0">
                  <c:v>Completed Trips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Dashboard!$A$14:$A$31</c:f>
              <c:strCach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</c:strCache>
            </c:strRef>
          </c:cat>
          <c:val>
            <c:numRef>
              <c:f>Dashboard!$B$14:$B$31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6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4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</c:ser>
        <c:gapWidth val="150"/>
        <c:overlap val="0"/>
        <c:axId val="53874999"/>
        <c:axId val="27712434"/>
      </c:barChart>
      <c:catAx>
        <c:axId val="538749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712434"/>
        <c:crosses val="autoZero"/>
        <c:auto val="1"/>
        <c:lblAlgn val="ctr"/>
        <c:lblOffset val="100"/>
        <c:noMultiLvlLbl val="0"/>
      </c:catAx>
      <c:valAx>
        <c:axId val="277124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Trips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8749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Trips &amp; Spend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Dashboard!B33</c:f>
              <c:strCache>
                <c:ptCount val="1"/>
                <c:pt idx="0">
                  <c:v>Trips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Dashboard!$A$34:$A$44</c:f>
              <c:strCache>
                <c:ptCount val="11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2025-08</c:v>
                </c:pt>
              </c:strCache>
            </c:strRef>
          </c:cat>
          <c:val>
            <c:numRef>
              <c:f>Dashboard!$B$34:$B$44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9</c:v>
                </c:pt>
                <c:pt idx="6">
                  <c:v>0</c:v>
                </c:pt>
                <c:pt idx="7">
                  <c:v>3</c:v>
                </c:pt>
                <c:pt idx="8">
                  <c:v>2</c:v>
                </c:pt>
                <c:pt idx="9">
                  <c:v>4</c:v>
                </c:pt>
                <c:pt idx="10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7375774"/>
        <c:axId val="95324058"/>
      </c:lineChart>
      <c:catAx>
        <c:axId val="673757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324058"/>
        <c:crosses val="autoZero"/>
        <c:auto val="1"/>
        <c:lblAlgn val="ctr"/>
        <c:lblOffset val="100"/>
        <c:noMultiLvlLbl val="0"/>
      </c:catAx>
      <c:valAx>
        <c:axId val="953240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Trips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3757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Vehicle Type Preference (All Requests)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Dashboard!B46</c:f>
              <c:strCache>
                <c:ptCount val="1"/>
                <c:pt idx="0">
                  <c:v>Requests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Dashboard!$A$47:$A$50</c:f>
              <c:strCache>
                <c:ptCount val="4"/>
                <c:pt idx="0">
                  <c:v>AUTO Agram</c:v>
                </c:pt>
                <c:pt idx="1">
                  <c:v>Moto Saver</c:v>
                </c:pt>
                <c:pt idx="2">
                  <c:v>Moto_short</c:v>
                </c:pt>
                <c:pt idx="3">
                  <c:v>UberGo</c:v>
                </c:pt>
              </c:strCache>
            </c:strRef>
          </c:cat>
          <c:val>
            <c:numRef>
              <c:f>Dashboard!$B$47:$B$50</c:f>
              <c:numCache>
                <c:formatCode>General</c:formatCode>
                <c:ptCount val="4"/>
                <c:pt idx="0">
                  <c:v>13</c:v>
                </c:pt>
                <c:pt idx="1">
                  <c:v>29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12</xdr:row>
      <xdr:rowOff>0</xdr:rowOff>
    </xdr:from>
    <xdr:to>
      <xdr:col>9</xdr:col>
      <xdr:colOff>559080</xdr:colOff>
      <xdr:row>27</xdr:row>
      <xdr:rowOff>21960</xdr:rowOff>
    </xdr:to>
    <xdr:graphicFrame>
      <xdr:nvGraphicFramePr>
        <xdr:cNvPr id="0" name="Chart 1"/>
        <xdr:cNvGraphicFramePr/>
      </xdr:nvGraphicFramePr>
      <xdr:xfrm>
        <a:off x="2537640" y="247644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29</xdr:row>
      <xdr:rowOff>0</xdr:rowOff>
    </xdr:from>
    <xdr:to>
      <xdr:col>9</xdr:col>
      <xdr:colOff>559080</xdr:colOff>
      <xdr:row>44</xdr:row>
      <xdr:rowOff>21960</xdr:rowOff>
    </xdr:to>
    <xdr:graphicFrame>
      <xdr:nvGraphicFramePr>
        <xdr:cNvPr id="1" name="Chart 2"/>
        <xdr:cNvGraphicFramePr/>
      </xdr:nvGraphicFramePr>
      <xdr:xfrm>
        <a:off x="2537640" y="571500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46</xdr:row>
      <xdr:rowOff>0</xdr:rowOff>
    </xdr:from>
    <xdr:to>
      <xdr:col>8</xdr:col>
      <xdr:colOff>90720</xdr:colOff>
      <xdr:row>61</xdr:row>
      <xdr:rowOff>22320</xdr:rowOff>
    </xdr:to>
    <xdr:graphicFrame>
      <xdr:nvGraphicFramePr>
        <xdr:cNvPr id="2" name="Chart 3"/>
        <xdr:cNvGraphicFramePr/>
      </xdr:nvGraphicFramePr>
      <xdr:xfrm>
        <a:off x="2537640" y="895356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customFormat="false" ht="15" hidden="false" customHeight="false" outlineLevel="0" collapsed="false">
      <c r="A5" s="4" t="n">
        <f aca="false">COUNTA('Trip Data'!A2:A49)</f>
        <v>47</v>
      </c>
      <c r="B5" s="4"/>
      <c r="C5" s="4" t="n">
        <f aca="false">COUNTIF('Trip Data'!F2:F49,"Completed")</f>
        <v>27</v>
      </c>
      <c r="D5" s="4"/>
      <c r="E5" s="5" t="n">
        <f aca="false">COUNTIF('Trip Data'!F2:F49,"Rider Canceled")/COUNTA('Trip Data'!F2:F49)</f>
        <v>0.361702127659575</v>
      </c>
      <c r="F5" s="5"/>
      <c r="G5" s="6" t="n">
        <f aca="false">SUM('Trip Data'!J2:J49)</f>
        <v>1536.9</v>
      </c>
      <c r="H5" s="6"/>
    </row>
    <row r="6" customFormat="false" ht="15" hidden="false" customHeight="false" outlineLevel="0" collapsed="false">
      <c r="A6" s="4"/>
      <c r="B6" s="4"/>
      <c r="C6" s="4"/>
      <c r="D6" s="4"/>
      <c r="E6" s="5"/>
      <c r="F6" s="5"/>
      <c r="G6" s="6"/>
      <c r="H6" s="6"/>
    </row>
    <row r="8" customFormat="false" ht="15" hidden="false" customHeight="false" outlineLevel="0" collapsed="false">
      <c r="A8" s="3" t="s">
        <v>6</v>
      </c>
      <c r="B8" s="3"/>
      <c r="C8" s="3" t="s">
        <v>7</v>
      </c>
      <c r="D8" s="3"/>
      <c r="E8" s="3" t="s">
        <v>8</v>
      </c>
      <c r="F8" s="3"/>
      <c r="G8" s="3" t="s">
        <v>9</v>
      </c>
      <c r="H8" s="3"/>
    </row>
    <row r="9" customFormat="false" ht="15" hidden="false" customHeight="false" outlineLevel="0" collapsed="false">
      <c r="A9" s="7" t="n">
        <f aca="false">AVERAGEIF('Trip Data'!F2:F49,"Completed",'Trip Data'!J2:J49)</f>
        <v>56.9222222222222</v>
      </c>
      <c r="B9" s="7"/>
      <c r="C9" s="7" t="n">
        <f aca="false">AVERAGEIFS('Trip Data'!M2:M49,'Trip Data'!F2:F49,"Completed")</f>
        <v>5.07037037037037</v>
      </c>
      <c r="D9" s="7"/>
      <c r="E9" s="7" t="n">
        <f aca="false">AVERAGEIFS('Trip Data'!M2:M49,'Trip Data'!F2:F49,"Rider Canceled")</f>
        <v>10.8</v>
      </c>
      <c r="F9" s="7"/>
      <c r="G9" s="8" t="n">
        <f aca="false">COUNTIFS('Trip Data'!F2:F49,"Completed",'Trip Data'!N2:N49,"Home Area",'Trip Data'!O2:O49,"Office")/COUNTIF('Trip Data'!F2:F49,"Completed")</f>
        <v>0.555555555555556</v>
      </c>
      <c r="H9" s="8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8"/>
      <c r="H10" s="8"/>
    </row>
    <row r="12" customFormat="false" ht="15" hidden="false" customHeight="false" outlineLevel="0" collapsed="false">
      <c r="A12" s="9" t="s">
        <v>10</v>
      </c>
    </row>
    <row r="13" customFormat="false" ht="15" hidden="false" customHeight="false" outlineLevel="0" collapsed="false">
      <c r="A13" s="10" t="s">
        <v>11</v>
      </c>
      <c r="B13" s="10" t="s">
        <v>3</v>
      </c>
    </row>
    <row r="14" customFormat="false" ht="15" hidden="false" customHeight="false" outlineLevel="0" collapsed="false">
      <c r="A14" s="0" t="n">
        <v>6</v>
      </c>
      <c r="B14" s="0" t="n">
        <f aca="false">COUNTIFS('Trip Data'!F2:F49,"Completed",'Trip Data'!C2:C49,6)</f>
        <v>0</v>
      </c>
    </row>
    <row r="15" customFormat="false" ht="15" hidden="false" customHeight="false" outlineLevel="0" collapsed="false">
      <c r="A15" s="0" t="n">
        <v>7</v>
      </c>
      <c r="B15" s="0" t="n">
        <f aca="false">COUNTIFS('Trip Data'!F2:F49,"Completed",'Trip Data'!C2:C49,7)</f>
        <v>0</v>
      </c>
    </row>
    <row r="16" customFormat="false" ht="15" hidden="false" customHeight="false" outlineLevel="0" collapsed="false">
      <c r="A16" s="0" t="n">
        <v>8</v>
      </c>
      <c r="B16" s="0" t="n">
        <f aca="false">COUNTIFS('Trip Data'!F2:F49,"Completed",'Trip Data'!C2:C49,8)</f>
        <v>0</v>
      </c>
    </row>
    <row r="17" customFormat="false" ht="15" hidden="false" customHeight="false" outlineLevel="0" collapsed="false">
      <c r="A17" s="0" t="n">
        <v>9</v>
      </c>
      <c r="B17" s="0" t="n">
        <f aca="false">COUNTIFS('Trip Data'!F2:F49,"Completed",'Trip Data'!C2:C49,9)</f>
        <v>9</v>
      </c>
    </row>
    <row r="18" customFormat="false" ht="15" hidden="false" customHeight="false" outlineLevel="0" collapsed="false">
      <c r="A18" s="0" t="n">
        <v>10</v>
      </c>
      <c r="B18" s="0" t="n">
        <f aca="false">COUNTIFS('Trip Data'!F2:F49,"Completed",'Trip Data'!C2:C49,10)</f>
        <v>0</v>
      </c>
    </row>
    <row r="19" customFormat="false" ht="15" hidden="false" customHeight="false" outlineLevel="0" collapsed="false">
      <c r="A19" s="0" t="n">
        <v>11</v>
      </c>
      <c r="B19" s="0" t="n">
        <f aca="false">COUNTIFS('Trip Data'!F2:F49,"Completed",'Trip Data'!C2:C49,11)</f>
        <v>0</v>
      </c>
    </row>
    <row r="20" customFormat="false" ht="15" hidden="false" customHeight="false" outlineLevel="0" collapsed="false">
      <c r="A20" s="0" t="n">
        <v>12</v>
      </c>
      <c r="B20" s="0" t="n">
        <f aca="false">COUNTIFS('Trip Data'!F2:F49,"Completed",'Trip Data'!C2:C49,12)</f>
        <v>1</v>
      </c>
    </row>
    <row r="21" customFormat="false" ht="15" hidden="false" customHeight="false" outlineLevel="0" collapsed="false">
      <c r="A21" s="0" t="n">
        <v>13</v>
      </c>
      <c r="B21" s="0" t="n">
        <f aca="false">COUNTIFS('Trip Data'!F2:F49,"Completed",'Trip Data'!C2:C49,13)</f>
        <v>6</v>
      </c>
    </row>
    <row r="22" customFormat="false" ht="15" hidden="false" customHeight="false" outlineLevel="0" collapsed="false">
      <c r="A22" s="0" t="n">
        <v>14</v>
      </c>
      <c r="B22" s="0" t="n">
        <f aca="false">COUNTIFS('Trip Data'!F2:F49,"Completed",'Trip Data'!C2:C49,14)</f>
        <v>0</v>
      </c>
    </row>
    <row r="23" customFormat="false" ht="15" hidden="false" customHeight="false" outlineLevel="0" collapsed="false">
      <c r="A23" s="0" t="n">
        <v>15</v>
      </c>
      <c r="B23" s="0" t="n">
        <f aca="false">COUNTIFS('Trip Data'!F2:F49,"Completed",'Trip Data'!C2:C49,15)</f>
        <v>1</v>
      </c>
    </row>
    <row r="24" customFormat="false" ht="15" hidden="false" customHeight="false" outlineLevel="0" collapsed="false">
      <c r="A24" s="0" t="n">
        <v>16</v>
      </c>
      <c r="B24" s="0" t="n">
        <f aca="false">COUNTIFS('Trip Data'!F2:F49,"Completed",'Trip Data'!C2:C49,16)</f>
        <v>0</v>
      </c>
    </row>
    <row r="25" customFormat="false" ht="15" hidden="false" customHeight="false" outlineLevel="0" collapsed="false">
      <c r="A25" s="0" t="n">
        <v>17</v>
      </c>
      <c r="B25" s="0" t="n">
        <f aca="false">COUNTIFS('Trip Data'!F2:F49,"Completed",'Trip Data'!C2:C49,17)</f>
        <v>1</v>
      </c>
    </row>
    <row r="26" customFormat="false" ht="15" hidden="false" customHeight="false" outlineLevel="0" collapsed="false">
      <c r="A26" s="0" t="n">
        <v>18</v>
      </c>
      <c r="B26" s="0" t="n">
        <f aca="false">COUNTIFS('Trip Data'!F2:F49,"Completed",'Trip Data'!C2:C49,18)</f>
        <v>0</v>
      </c>
    </row>
    <row r="27" customFormat="false" ht="15" hidden="false" customHeight="false" outlineLevel="0" collapsed="false">
      <c r="A27" s="0" t="n">
        <v>19</v>
      </c>
      <c r="B27" s="0" t="n">
        <f aca="false">COUNTIFS('Trip Data'!F2:F49,"Completed",'Trip Data'!C2:C49,19)</f>
        <v>0</v>
      </c>
    </row>
    <row r="28" customFormat="false" ht="15" hidden="false" customHeight="false" outlineLevel="0" collapsed="false">
      <c r="A28" s="0" t="n">
        <v>20</v>
      </c>
      <c r="B28" s="0" t="n">
        <f aca="false">COUNTIFS('Trip Data'!F2:F49,"Completed",'Trip Data'!C2:C49,20)</f>
        <v>1</v>
      </c>
    </row>
    <row r="29" customFormat="false" ht="15" hidden="false" customHeight="false" outlineLevel="0" collapsed="false">
      <c r="A29" s="0" t="n">
        <v>21</v>
      </c>
      <c r="B29" s="0" t="n">
        <f aca="false">COUNTIFS('Trip Data'!F2:F49,"Completed",'Trip Data'!C2:C49,21)</f>
        <v>4</v>
      </c>
    </row>
    <row r="30" customFormat="false" ht="15" hidden="false" customHeight="false" outlineLevel="0" collapsed="false">
      <c r="A30" s="0" t="n">
        <v>22</v>
      </c>
      <c r="B30" s="0" t="n">
        <f aca="false">COUNTIFS('Trip Data'!F2:F49,"Completed",'Trip Data'!C2:C49,22)</f>
        <v>1</v>
      </c>
    </row>
    <row r="31" customFormat="false" ht="15" hidden="false" customHeight="false" outlineLevel="0" collapsed="false">
      <c r="A31" s="0" t="n">
        <v>23</v>
      </c>
      <c r="B31" s="0" t="n">
        <f aca="false">COUNTIFS('Trip Data'!F2:F49,"Completed",'Trip Data'!C2:C49,23)</f>
        <v>1</v>
      </c>
    </row>
    <row r="33" customFormat="false" ht="15" hidden="false" customHeight="false" outlineLevel="0" collapsed="false">
      <c r="A33" s="10" t="s">
        <v>12</v>
      </c>
      <c r="B33" s="10" t="s">
        <v>13</v>
      </c>
      <c r="C33" s="10" t="s">
        <v>14</v>
      </c>
    </row>
    <row r="34" customFormat="false" ht="15" hidden="false" customHeight="false" outlineLevel="0" collapsed="false">
      <c r="A34" s="0" t="s">
        <v>15</v>
      </c>
      <c r="B34" s="0" t="n">
        <f aca="false">COUNTIFS('Trip Data'!F2:F49,"Completed",'Trip Data'!E2:E49,"2024-09")</f>
        <v>1</v>
      </c>
      <c r="C34" s="0" t="n">
        <f aca="false">SUMIFS('Trip Data'!J2:J49,'Trip Data'!F2:F49,"Completed",'Trip Data'!E2:E49,"2024-09")</f>
        <v>43</v>
      </c>
    </row>
    <row r="35" customFormat="false" ht="15" hidden="false" customHeight="false" outlineLevel="0" collapsed="false">
      <c r="A35" s="0" t="s">
        <v>16</v>
      </c>
      <c r="B35" s="0" t="n">
        <f aca="false">COUNTIFS('Trip Data'!F2:F49,"Completed",'Trip Data'!E2:E49,"2024-10")</f>
        <v>2</v>
      </c>
      <c r="C35" s="0" t="n">
        <f aca="false">SUMIFS('Trip Data'!J2:J49,'Trip Data'!F2:F49,"Completed",'Trip Data'!E2:E49,"2024-10")</f>
        <v>139</v>
      </c>
    </row>
    <row r="36" customFormat="false" ht="15" hidden="false" customHeight="false" outlineLevel="0" collapsed="false">
      <c r="A36" s="0" t="s">
        <v>17</v>
      </c>
      <c r="B36" s="0" t="n">
        <f aca="false">COUNTIFS('Trip Data'!F2:F49,"Completed",'Trip Data'!E2:E49,"2024-11")</f>
        <v>1</v>
      </c>
      <c r="C36" s="0" t="n">
        <f aca="false">SUMIFS('Trip Data'!J2:J49,'Trip Data'!F2:F49,"Completed",'Trip Data'!E2:E49,"2024-11")</f>
        <v>94</v>
      </c>
    </row>
    <row r="37" customFormat="false" ht="15" hidden="false" customHeight="false" outlineLevel="0" collapsed="false">
      <c r="A37" s="0" t="s">
        <v>18</v>
      </c>
      <c r="B37" s="0" t="n">
        <f aca="false">COUNTIFS('Trip Data'!F2:F49,"Completed",'Trip Data'!E2:E49,"2024-12")</f>
        <v>1</v>
      </c>
      <c r="C37" s="0" t="n">
        <f aca="false">SUMIFS('Trip Data'!J2:J49,'Trip Data'!F2:F49,"Completed",'Trip Data'!E2:E49,"2024-12")</f>
        <v>45</v>
      </c>
    </row>
    <row r="38" customFormat="false" ht="15" hidden="false" customHeight="false" outlineLevel="0" collapsed="false">
      <c r="A38" s="0" t="s">
        <v>19</v>
      </c>
      <c r="B38" s="0" t="n">
        <f aca="false">COUNTIFS('Trip Data'!F2:F49,"Completed",'Trip Data'!E2:E49,"2025-01")</f>
        <v>3</v>
      </c>
      <c r="C38" s="0" t="n">
        <f aca="false">SUMIFS('Trip Data'!J2:J49,'Trip Data'!F2:F49,"Completed",'Trip Data'!E2:E49,"2025-01")</f>
        <v>119</v>
      </c>
    </row>
    <row r="39" customFormat="false" ht="15" hidden="false" customHeight="false" outlineLevel="0" collapsed="false">
      <c r="A39" s="0" t="s">
        <v>20</v>
      </c>
      <c r="B39" s="0" t="n">
        <f aca="false">COUNTIFS('Trip Data'!F2:F49,"Completed",'Trip Data'!E2:E49,"2025-02")</f>
        <v>9</v>
      </c>
      <c r="C39" s="0" t="n">
        <f aca="false">SUMIFS('Trip Data'!J2:J49,'Trip Data'!F2:F49,"Completed",'Trip Data'!E2:E49,"2025-02")</f>
        <v>344.9</v>
      </c>
    </row>
    <row r="40" customFormat="false" ht="15" hidden="false" customHeight="false" outlineLevel="0" collapsed="false">
      <c r="A40" s="0" t="s">
        <v>21</v>
      </c>
      <c r="B40" s="0" t="n">
        <f aca="false">COUNTIFS('Trip Data'!F2:F49,"Completed",'Trip Data'!E2:E49,"2025-03")</f>
        <v>0</v>
      </c>
      <c r="C40" s="0" t="n">
        <f aca="false">SUMIFS('Trip Data'!J2:J49,'Trip Data'!F2:F49,"Completed",'Trip Data'!E2:E49,"2025-03")</f>
        <v>0</v>
      </c>
    </row>
    <row r="41" customFormat="false" ht="15" hidden="false" customHeight="false" outlineLevel="0" collapsed="false">
      <c r="A41" s="0" t="s">
        <v>22</v>
      </c>
      <c r="B41" s="0" t="n">
        <f aca="false">COUNTIFS('Trip Data'!F2:F49,"Completed",'Trip Data'!E2:E49,"2025-04")</f>
        <v>3</v>
      </c>
      <c r="C41" s="0" t="n">
        <f aca="false">SUMIFS('Trip Data'!J2:J49,'Trip Data'!F2:F49,"Completed",'Trip Data'!E2:E49,"2025-04")</f>
        <v>128.89</v>
      </c>
    </row>
    <row r="42" customFormat="false" ht="15" hidden="false" customHeight="false" outlineLevel="0" collapsed="false">
      <c r="A42" s="0" t="s">
        <v>23</v>
      </c>
      <c r="B42" s="0" t="n">
        <f aca="false">COUNTIFS('Trip Data'!F2:F49,"Completed",'Trip Data'!E2:E49,"2025-05")</f>
        <v>2</v>
      </c>
      <c r="C42" s="0" t="n">
        <f aca="false">SUMIFS('Trip Data'!J2:J49,'Trip Data'!F2:F49,"Completed",'Trip Data'!E2:E49,"2025-05")</f>
        <v>80.16</v>
      </c>
    </row>
    <row r="43" customFormat="false" ht="15" hidden="false" customHeight="false" outlineLevel="0" collapsed="false">
      <c r="A43" s="0" t="s">
        <v>24</v>
      </c>
      <c r="B43" s="0" t="n">
        <f aca="false">COUNTIFS('Trip Data'!F2:F49,"Completed",'Trip Data'!E2:E49,"2025-06")</f>
        <v>4</v>
      </c>
      <c r="C43" s="0" t="n">
        <f aca="false">SUMIFS('Trip Data'!J2:J49,'Trip Data'!F2:F49,"Completed",'Trip Data'!E2:E49,"2025-06")</f>
        <v>173.02</v>
      </c>
    </row>
    <row r="44" customFormat="false" ht="15" hidden="false" customHeight="false" outlineLevel="0" collapsed="false">
      <c r="A44" s="0" t="s">
        <v>25</v>
      </c>
      <c r="B44" s="0" t="n">
        <f aca="false">COUNTIFS('Trip Data'!F2:F49,"Completed",'Trip Data'!E2:E49,"2025-08")</f>
        <v>1</v>
      </c>
      <c r="C44" s="0" t="n">
        <f aca="false">SUMIFS('Trip Data'!J2:J49,'Trip Data'!F2:F49,"Completed",'Trip Data'!E2:E49,"2025-08")</f>
        <v>369.93</v>
      </c>
    </row>
    <row r="46" customFormat="false" ht="15" hidden="false" customHeight="false" outlineLevel="0" collapsed="false">
      <c r="A46" s="10" t="s">
        <v>26</v>
      </c>
      <c r="B46" s="10" t="s">
        <v>27</v>
      </c>
    </row>
    <row r="47" customFormat="false" ht="15" hidden="false" customHeight="false" outlineLevel="0" collapsed="false">
      <c r="A47" s="0" t="s">
        <v>28</v>
      </c>
      <c r="B47" s="0" t="n">
        <f aca="false">COUNTIF('Trip Data'!G2:G49,"AUTO Agram")</f>
        <v>13</v>
      </c>
    </row>
    <row r="48" customFormat="false" ht="15" hidden="false" customHeight="false" outlineLevel="0" collapsed="false">
      <c r="A48" s="0" t="s">
        <v>29</v>
      </c>
      <c r="B48" s="0" t="n">
        <f aca="false">COUNTIF('Trip Data'!G2:G49,"Moto Saver")</f>
        <v>29</v>
      </c>
    </row>
    <row r="49" customFormat="false" ht="15" hidden="false" customHeight="false" outlineLevel="0" collapsed="false">
      <c r="A49" s="0" t="s">
        <v>30</v>
      </c>
      <c r="B49" s="0" t="n">
        <f aca="false">COUNTIF('Trip Data'!G2:G49,"Moto_short")</f>
        <v>4</v>
      </c>
    </row>
    <row r="50" customFormat="false" ht="15" hidden="false" customHeight="false" outlineLevel="0" collapsed="false">
      <c r="A50" s="0" t="s">
        <v>31</v>
      </c>
      <c r="B50" s="0" t="n">
        <f aca="false">COUNTIF('Trip Data'!G2:G49,"UberGo")</f>
        <v>1</v>
      </c>
    </row>
    <row r="52" customFormat="false" ht="15" hidden="false" customHeight="false" outlineLevel="0" collapsed="false">
      <c r="A52" s="10" t="s">
        <v>32</v>
      </c>
      <c r="B52" s="10" t="s">
        <v>33</v>
      </c>
    </row>
    <row r="53" customFormat="false" ht="15" hidden="false" customHeight="false" outlineLevel="0" collapsed="false">
      <c r="A53" s="0" t="s">
        <v>34</v>
      </c>
      <c r="B53" s="11" t="n">
        <f aca="false">AVERAGEIFS('Trip Data'!P2:P49,'Trip Data'!F2:F49,"Completed",'Trip Data'!L2:L49,FALSE(),'Trip Data'!H2:H49,"&lt;5")</f>
        <v>28.3293547711715</v>
      </c>
    </row>
    <row r="54" customFormat="false" ht="15" hidden="false" customHeight="false" outlineLevel="0" collapsed="false">
      <c r="A54" s="0" t="s">
        <v>35</v>
      </c>
      <c r="B54" s="11" t="n">
        <f aca="false">AVERAGEIFS('Trip Data'!P2:P49,'Trip Data'!F2:F49,"Completed",'Trip Data'!L2:L49,TRUE(),'Trip Data'!H2:H49,"&lt;5")</f>
        <v>30.5995804252041</v>
      </c>
    </row>
  </sheetData>
  <mergeCells count="18">
    <mergeCell ref="A1:H1"/>
    <mergeCell ref="A2:H2"/>
    <mergeCell ref="A4:B4"/>
    <mergeCell ref="C4:D4"/>
    <mergeCell ref="E4:F4"/>
    <mergeCell ref="G4:H4"/>
    <mergeCell ref="A5:B6"/>
    <mergeCell ref="C5:D6"/>
    <mergeCell ref="E5:F6"/>
    <mergeCell ref="G5:H6"/>
    <mergeCell ref="A8:B8"/>
    <mergeCell ref="C8:D8"/>
    <mergeCell ref="E8:F8"/>
    <mergeCell ref="G8:H8"/>
    <mergeCell ref="A9:B10"/>
    <mergeCell ref="C9:D10"/>
    <mergeCell ref="E9:F10"/>
    <mergeCell ref="G9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9" min="7" style="0" width="12"/>
    <col collapsed="false" customWidth="true" hidden="false" outlineLevel="0" max="10" min="10" style="0" width="11"/>
    <col collapsed="false" customWidth="true" hidden="false" outlineLevel="0" max="11" min="11" style="0" width="15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15"/>
  </cols>
  <sheetData>
    <row r="1" customFormat="false" ht="15" hidden="false" customHeight="false" outlineLevel="0" collapsed="false">
      <c r="A1" s="12" t="s">
        <v>36</v>
      </c>
      <c r="B1" s="12" t="s">
        <v>37</v>
      </c>
      <c r="C1" s="12" t="s">
        <v>11</v>
      </c>
      <c r="D1" s="12" t="s">
        <v>38</v>
      </c>
      <c r="E1" s="12" t="s">
        <v>12</v>
      </c>
      <c r="F1" s="12" t="s">
        <v>39</v>
      </c>
      <c r="G1" s="12" t="s">
        <v>26</v>
      </c>
      <c r="H1" s="12" t="s">
        <v>40</v>
      </c>
      <c r="I1" s="12" t="s">
        <v>41</v>
      </c>
      <c r="J1" s="12" t="s">
        <v>42</v>
      </c>
      <c r="K1" s="12" t="s">
        <v>43</v>
      </c>
      <c r="L1" s="12" t="s">
        <v>44</v>
      </c>
      <c r="M1" s="12" t="s">
        <v>45</v>
      </c>
      <c r="N1" s="12" t="s">
        <v>46</v>
      </c>
      <c r="O1" s="12" t="s">
        <v>47</v>
      </c>
      <c r="P1" s="12" t="s">
        <v>48</v>
      </c>
    </row>
    <row r="2" customFormat="false" ht="15" hidden="false" customHeight="false" outlineLevel="0" collapsed="false">
      <c r="A2" s="0" t="s">
        <v>49</v>
      </c>
      <c r="B2" s="0" t="s">
        <v>50</v>
      </c>
      <c r="C2" s="0" t="n">
        <v>9</v>
      </c>
      <c r="D2" s="0" t="s">
        <v>51</v>
      </c>
      <c r="E2" s="0" t="s">
        <v>15</v>
      </c>
      <c r="F2" s="0" t="s">
        <v>52</v>
      </c>
      <c r="G2" s="0" t="s">
        <v>28</v>
      </c>
      <c r="H2" s="13"/>
      <c r="I2" s="14"/>
      <c r="J2" s="15" t="n">
        <v>0</v>
      </c>
      <c r="L2" s="16" t="b">
        <f aca="false">FALSE()</f>
        <v>0</v>
      </c>
      <c r="M2" s="14"/>
      <c r="O2" s="17" t="s">
        <v>53</v>
      </c>
      <c r="P2" s="18" t="str">
        <f aca="false">IFERROR(J2/H2,"")</f>
        <v/>
      </c>
    </row>
    <row r="3" customFormat="false" ht="15" hidden="false" customHeight="false" outlineLevel="0" collapsed="false">
      <c r="A3" s="0" t="s">
        <v>49</v>
      </c>
      <c r="B3" s="0" t="s">
        <v>54</v>
      </c>
      <c r="C3" s="0" t="n">
        <v>9</v>
      </c>
      <c r="D3" s="0" t="s">
        <v>51</v>
      </c>
      <c r="E3" s="0" t="s">
        <v>15</v>
      </c>
      <c r="F3" s="0" t="s">
        <v>52</v>
      </c>
      <c r="G3" s="0" t="s">
        <v>28</v>
      </c>
      <c r="H3" s="13"/>
      <c r="I3" s="14"/>
      <c r="J3" s="15" t="n">
        <v>0</v>
      </c>
      <c r="L3" s="16" t="b">
        <f aca="false">FALSE()</f>
        <v>0</v>
      </c>
      <c r="M3" s="14"/>
      <c r="O3" s="17" t="s">
        <v>53</v>
      </c>
      <c r="P3" s="18" t="str">
        <f aca="false">IFERROR(J3/H3,"")</f>
        <v/>
      </c>
    </row>
    <row r="4" customFormat="false" ht="15" hidden="false" customHeight="false" outlineLevel="0" collapsed="false">
      <c r="A4" s="0" t="s">
        <v>55</v>
      </c>
      <c r="B4" s="0" t="s">
        <v>56</v>
      </c>
      <c r="C4" s="0" t="n">
        <v>13</v>
      </c>
      <c r="D4" s="0" t="s">
        <v>57</v>
      </c>
      <c r="E4" s="0" t="s">
        <v>15</v>
      </c>
      <c r="F4" s="0" t="s">
        <v>58</v>
      </c>
      <c r="G4" s="0" t="s">
        <v>30</v>
      </c>
      <c r="H4" s="13" t="n">
        <v>1.667597</v>
      </c>
      <c r="I4" s="14" t="n">
        <v>9.8</v>
      </c>
      <c r="J4" s="15" t="n">
        <v>43</v>
      </c>
      <c r="K4" s="0" t="n">
        <v>1</v>
      </c>
      <c r="L4" s="16" t="b">
        <f aca="false">FALSE()</f>
        <v>0</v>
      </c>
      <c r="M4" s="14" t="n">
        <v>6.1</v>
      </c>
      <c r="N4" s="17" t="s">
        <v>59</v>
      </c>
      <c r="O4" s="17" t="s">
        <v>53</v>
      </c>
      <c r="P4" s="18" t="n">
        <f aca="false">IFERROR(J4/H4,"")</f>
        <v>25.785606474466</v>
      </c>
    </row>
    <row r="5" customFormat="false" ht="15" hidden="false" customHeight="false" outlineLevel="0" collapsed="false">
      <c r="A5" s="0" t="s">
        <v>60</v>
      </c>
      <c r="B5" s="0" t="s">
        <v>61</v>
      </c>
      <c r="C5" s="0" t="n">
        <v>9</v>
      </c>
      <c r="D5" s="0" t="s">
        <v>62</v>
      </c>
      <c r="E5" s="0" t="s">
        <v>15</v>
      </c>
      <c r="F5" s="0" t="s">
        <v>52</v>
      </c>
      <c r="G5" s="0" t="s">
        <v>28</v>
      </c>
      <c r="H5" s="13"/>
      <c r="I5" s="14"/>
      <c r="J5" s="15" t="n">
        <v>0</v>
      </c>
      <c r="L5" s="16" t="b">
        <f aca="false">FALSE()</f>
        <v>0</v>
      </c>
      <c r="M5" s="14" t="n">
        <v>12</v>
      </c>
      <c r="O5" s="17" t="s">
        <v>53</v>
      </c>
      <c r="P5" s="18" t="str">
        <f aca="false">IFERROR(J5/H5,"")</f>
        <v/>
      </c>
    </row>
    <row r="6" customFormat="false" ht="15" hidden="false" customHeight="false" outlineLevel="0" collapsed="false">
      <c r="A6" s="0" t="s">
        <v>63</v>
      </c>
      <c r="B6" s="0" t="s">
        <v>64</v>
      </c>
      <c r="C6" s="0" t="n">
        <v>9</v>
      </c>
      <c r="D6" s="0" t="s">
        <v>65</v>
      </c>
      <c r="E6" s="0" t="s">
        <v>16</v>
      </c>
      <c r="F6" s="0" t="s">
        <v>58</v>
      </c>
      <c r="G6" s="0" t="s">
        <v>28</v>
      </c>
      <c r="H6" s="13" t="n">
        <v>2.424186</v>
      </c>
      <c r="I6" s="14" t="n">
        <v>13.8</v>
      </c>
      <c r="J6" s="15" t="n">
        <v>96</v>
      </c>
      <c r="K6" s="0" t="n">
        <v>1</v>
      </c>
      <c r="L6" s="16" t="b">
        <f aca="false">FALSE()</f>
        <v>0</v>
      </c>
      <c r="M6" s="14" t="n">
        <v>6.4</v>
      </c>
      <c r="N6" s="17" t="s">
        <v>59</v>
      </c>
      <c r="O6" s="17" t="s">
        <v>66</v>
      </c>
      <c r="P6" s="18" t="n">
        <f aca="false">IFERROR(J6/H6,"")</f>
        <v>39.6009217114528</v>
      </c>
    </row>
    <row r="7" customFormat="false" ht="15" hidden="false" customHeight="false" outlineLevel="0" collapsed="false">
      <c r="A7" s="0" t="s">
        <v>67</v>
      </c>
      <c r="B7" s="0" t="s">
        <v>68</v>
      </c>
      <c r="C7" s="0" t="n">
        <v>9</v>
      </c>
      <c r="D7" s="0" t="s">
        <v>69</v>
      </c>
      <c r="E7" s="0" t="s">
        <v>16</v>
      </c>
      <c r="F7" s="0" t="s">
        <v>58</v>
      </c>
      <c r="G7" s="0" t="s">
        <v>30</v>
      </c>
      <c r="H7" s="13" t="n">
        <v>1.65987</v>
      </c>
      <c r="I7" s="14" t="n">
        <v>7.8</v>
      </c>
      <c r="J7" s="15" t="n">
        <v>43</v>
      </c>
      <c r="K7" s="0" t="n">
        <v>1</v>
      </c>
      <c r="L7" s="16" t="b">
        <f aca="false">FALSE()</f>
        <v>0</v>
      </c>
      <c r="M7" s="14" t="n">
        <v>6.2</v>
      </c>
      <c r="N7" s="17" t="s">
        <v>59</v>
      </c>
      <c r="O7" s="17" t="s">
        <v>53</v>
      </c>
      <c r="P7" s="18" t="n">
        <f aca="false">IFERROR(J7/H7,"")</f>
        <v>25.9056432130227</v>
      </c>
    </row>
    <row r="8" customFormat="false" ht="15" hidden="false" customHeight="false" outlineLevel="0" collapsed="false">
      <c r="A8" s="0" t="s">
        <v>70</v>
      </c>
      <c r="B8" s="0" t="s">
        <v>71</v>
      </c>
      <c r="C8" s="0" t="n">
        <v>21</v>
      </c>
      <c r="D8" s="0" t="s">
        <v>72</v>
      </c>
      <c r="E8" s="0" t="s">
        <v>17</v>
      </c>
      <c r="F8" s="0" t="s">
        <v>52</v>
      </c>
      <c r="G8" s="0" t="s">
        <v>29</v>
      </c>
      <c r="H8" s="13"/>
      <c r="I8" s="14"/>
      <c r="J8" s="15" t="n">
        <v>0</v>
      </c>
      <c r="L8" s="16" t="b">
        <f aca="false">FALSE()</f>
        <v>0</v>
      </c>
      <c r="M8" s="14" t="n">
        <v>8.2</v>
      </c>
      <c r="O8" s="17" t="s">
        <v>66</v>
      </c>
      <c r="P8" s="18" t="str">
        <f aca="false">IFERROR(J8/H8,"")</f>
        <v/>
      </c>
    </row>
    <row r="9" customFormat="false" ht="15" hidden="false" customHeight="false" outlineLevel="0" collapsed="false">
      <c r="A9" s="0" t="s">
        <v>73</v>
      </c>
      <c r="B9" s="0" t="s">
        <v>74</v>
      </c>
      <c r="C9" s="0" t="n">
        <v>9</v>
      </c>
      <c r="D9" s="0" t="s">
        <v>65</v>
      </c>
      <c r="E9" s="0" t="s">
        <v>17</v>
      </c>
      <c r="F9" s="0" t="s">
        <v>52</v>
      </c>
      <c r="G9" s="0" t="s">
        <v>28</v>
      </c>
      <c r="H9" s="13"/>
      <c r="I9" s="14"/>
      <c r="J9" s="15" t="n">
        <v>0</v>
      </c>
      <c r="L9" s="16" t="b">
        <f aca="false">FALSE()</f>
        <v>0</v>
      </c>
      <c r="M9" s="14" t="n">
        <v>6.9</v>
      </c>
      <c r="O9" s="17" t="s">
        <v>53</v>
      </c>
      <c r="P9" s="18" t="str">
        <f aca="false">IFERROR(J9/H9,"")</f>
        <v/>
      </c>
    </row>
    <row r="10" customFormat="false" ht="15" hidden="false" customHeight="false" outlineLevel="0" collapsed="false">
      <c r="A10" s="0" t="s">
        <v>75</v>
      </c>
      <c r="B10" s="0" t="s">
        <v>76</v>
      </c>
      <c r="C10" s="0" t="n">
        <v>9</v>
      </c>
      <c r="D10" s="0" t="s">
        <v>65</v>
      </c>
      <c r="E10" s="0" t="s">
        <v>17</v>
      </c>
      <c r="F10" s="0" t="s">
        <v>58</v>
      </c>
      <c r="G10" s="0" t="s">
        <v>28</v>
      </c>
      <c r="H10" s="13" t="n">
        <v>1.666445</v>
      </c>
      <c r="I10" s="14" t="n">
        <v>12.1</v>
      </c>
      <c r="J10" s="15" t="n">
        <v>94</v>
      </c>
      <c r="K10" s="0" t="n">
        <v>1</v>
      </c>
      <c r="L10" s="16" t="b">
        <f aca="false">FALSE()</f>
        <v>0</v>
      </c>
      <c r="M10" s="14" t="n">
        <v>7.4</v>
      </c>
      <c r="N10" s="17" t="s">
        <v>59</v>
      </c>
      <c r="O10" s="17" t="s">
        <v>53</v>
      </c>
      <c r="P10" s="18" t="n">
        <f aca="false">IFERROR(J10/H10,"")</f>
        <v>56.4075021977923</v>
      </c>
    </row>
    <row r="11" customFormat="false" ht="15" hidden="false" customHeight="false" outlineLevel="0" collapsed="false">
      <c r="A11" s="0" t="s">
        <v>77</v>
      </c>
      <c r="B11" s="0" t="s">
        <v>78</v>
      </c>
      <c r="C11" s="0" t="n">
        <v>13</v>
      </c>
      <c r="D11" s="0" t="s">
        <v>62</v>
      </c>
      <c r="E11" s="0" t="s">
        <v>18</v>
      </c>
      <c r="F11" s="0" t="s">
        <v>58</v>
      </c>
      <c r="G11" s="0" t="s">
        <v>30</v>
      </c>
      <c r="H11" s="13" t="n">
        <v>1.65694</v>
      </c>
      <c r="I11" s="14" t="n">
        <v>8.6</v>
      </c>
      <c r="J11" s="15" t="n">
        <v>45</v>
      </c>
      <c r="K11" s="0" t="n">
        <v>1</v>
      </c>
      <c r="L11" s="16" t="b">
        <f aca="false">FALSE()</f>
        <v>0</v>
      </c>
      <c r="M11" s="14" t="n">
        <v>6.2</v>
      </c>
      <c r="N11" s="17" t="s">
        <v>59</v>
      </c>
      <c r="O11" s="17" t="s">
        <v>53</v>
      </c>
      <c r="P11" s="18" t="n">
        <f aca="false">IFERROR(J11/H11,"")</f>
        <v>27.1584969884244</v>
      </c>
    </row>
    <row r="12" customFormat="false" ht="15" hidden="false" customHeight="false" outlineLevel="0" collapsed="false">
      <c r="A12" s="0" t="s">
        <v>79</v>
      </c>
      <c r="B12" s="0" t="s">
        <v>80</v>
      </c>
      <c r="C12" s="0" t="n">
        <v>8</v>
      </c>
      <c r="D12" s="0" t="s">
        <v>51</v>
      </c>
      <c r="E12" s="0" t="s">
        <v>19</v>
      </c>
      <c r="F12" s="0" t="s">
        <v>52</v>
      </c>
      <c r="G12" s="0" t="s">
        <v>28</v>
      </c>
      <c r="H12" s="13"/>
      <c r="I12" s="14"/>
      <c r="J12" s="15" t="n">
        <v>0</v>
      </c>
      <c r="L12" s="16" t="b">
        <f aca="false">FALSE()</f>
        <v>0</v>
      </c>
      <c r="M12" s="14"/>
      <c r="O12" s="17" t="s">
        <v>59</v>
      </c>
      <c r="P12" s="18" t="str">
        <f aca="false">IFERROR(J12/H12,"")</f>
        <v/>
      </c>
    </row>
    <row r="13" customFormat="false" ht="15" hidden="false" customHeight="false" outlineLevel="0" collapsed="false">
      <c r="A13" s="0" t="s">
        <v>81</v>
      </c>
      <c r="B13" s="0" t="s">
        <v>82</v>
      </c>
      <c r="C13" s="0" t="n">
        <v>9</v>
      </c>
      <c r="D13" s="0" t="s">
        <v>62</v>
      </c>
      <c r="E13" s="0" t="s">
        <v>19</v>
      </c>
      <c r="F13" s="0" t="s">
        <v>58</v>
      </c>
      <c r="G13" s="0" t="s">
        <v>30</v>
      </c>
      <c r="H13" s="13" t="n">
        <v>1.009057</v>
      </c>
      <c r="I13" s="14" t="n">
        <v>7.5</v>
      </c>
      <c r="J13" s="15" t="n">
        <v>47</v>
      </c>
      <c r="K13" s="0" t="n">
        <v>1.1</v>
      </c>
      <c r="L13" s="16" t="b">
        <f aca="false">TRUE()</f>
        <v>1</v>
      </c>
      <c r="M13" s="14" t="n">
        <v>5.5</v>
      </c>
      <c r="N13" s="17" t="s">
        <v>59</v>
      </c>
      <c r="O13" s="17" t="s">
        <v>53</v>
      </c>
      <c r="P13" s="18" t="n">
        <f aca="false">IFERROR(J13/H13,"")</f>
        <v>46.5781417699892</v>
      </c>
    </row>
    <row r="14" customFormat="false" ht="15" hidden="false" customHeight="false" outlineLevel="0" collapsed="false">
      <c r="A14" s="0" t="s">
        <v>83</v>
      </c>
      <c r="B14" s="0" t="s">
        <v>84</v>
      </c>
      <c r="C14" s="0" t="n">
        <v>13</v>
      </c>
      <c r="D14" s="0" t="s">
        <v>51</v>
      </c>
      <c r="E14" s="0" t="s">
        <v>19</v>
      </c>
      <c r="F14" s="0" t="s">
        <v>52</v>
      </c>
      <c r="G14" s="0" t="s">
        <v>29</v>
      </c>
      <c r="H14" s="13"/>
      <c r="I14" s="14"/>
      <c r="J14" s="15" t="n">
        <v>0</v>
      </c>
      <c r="L14" s="16" t="b">
        <f aca="false">FALSE()</f>
        <v>0</v>
      </c>
      <c r="M14" s="14" t="n">
        <v>7.2</v>
      </c>
      <c r="O14" s="17" t="s">
        <v>53</v>
      </c>
      <c r="P14" s="18" t="str">
        <f aca="false">IFERROR(J14/H14,"")</f>
        <v/>
      </c>
    </row>
    <row r="15" customFormat="false" ht="15" hidden="false" customHeight="false" outlineLevel="0" collapsed="false">
      <c r="A15" s="0" t="s">
        <v>85</v>
      </c>
      <c r="B15" s="0" t="s">
        <v>86</v>
      </c>
      <c r="C15" s="0" t="n">
        <v>13</v>
      </c>
      <c r="D15" s="0" t="s">
        <v>69</v>
      </c>
      <c r="E15" s="0" t="s">
        <v>19</v>
      </c>
      <c r="F15" s="0" t="s">
        <v>58</v>
      </c>
      <c r="G15" s="0" t="s">
        <v>29</v>
      </c>
      <c r="H15" s="13" t="n">
        <v>1.661348</v>
      </c>
      <c r="I15" s="14" t="n">
        <v>9.7</v>
      </c>
      <c r="J15" s="15" t="n">
        <v>33</v>
      </c>
      <c r="K15" s="0" t="n">
        <v>1</v>
      </c>
      <c r="L15" s="16" t="b">
        <f aca="false">FALSE()</f>
        <v>0</v>
      </c>
      <c r="M15" s="14" t="n">
        <v>2.5</v>
      </c>
      <c r="N15" s="17" t="s">
        <v>59</v>
      </c>
      <c r="O15" s="17" t="s">
        <v>53</v>
      </c>
      <c r="P15" s="18" t="n">
        <f aca="false">IFERROR(J15/H15,"")</f>
        <v>19.8633880439258</v>
      </c>
    </row>
    <row r="16" customFormat="false" ht="15" hidden="false" customHeight="false" outlineLevel="0" collapsed="false">
      <c r="A16" s="0" t="s">
        <v>87</v>
      </c>
      <c r="B16" s="0" t="s">
        <v>54</v>
      </c>
      <c r="C16" s="0" t="n">
        <v>9</v>
      </c>
      <c r="D16" s="0" t="s">
        <v>62</v>
      </c>
      <c r="E16" s="0" t="s">
        <v>19</v>
      </c>
      <c r="F16" s="0" t="s">
        <v>58</v>
      </c>
      <c r="G16" s="0" t="s">
        <v>29</v>
      </c>
      <c r="H16" s="13" t="n">
        <v>1.588882</v>
      </c>
      <c r="I16" s="14" t="n">
        <v>8.5</v>
      </c>
      <c r="J16" s="15" t="n">
        <v>39</v>
      </c>
      <c r="K16" s="0" t="n">
        <v>1.2</v>
      </c>
      <c r="L16" s="16" t="b">
        <f aca="false">TRUE()</f>
        <v>1</v>
      </c>
      <c r="M16" s="14" t="n">
        <v>7.4</v>
      </c>
      <c r="N16" s="17" t="s">
        <v>59</v>
      </c>
      <c r="O16" s="17" t="s">
        <v>53</v>
      </c>
      <c r="P16" s="18" t="n">
        <f aca="false">IFERROR(J16/H16,"")</f>
        <v>24.5455609667678</v>
      </c>
    </row>
    <row r="17" customFormat="false" ht="15" hidden="false" customHeight="false" outlineLevel="0" collapsed="false">
      <c r="A17" s="0" t="s">
        <v>88</v>
      </c>
      <c r="B17" s="0" t="s">
        <v>54</v>
      </c>
      <c r="C17" s="0" t="n">
        <v>9</v>
      </c>
      <c r="D17" s="0" t="s">
        <v>69</v>
      </c>
      <c r="E17" s="0" t="s">
        <v>20</v>
      </c>
      <c r="F17" s="0" t="s">
        <v>52</v>
      </c>
      <c r="G17" s="0" t="s">
        <v>29</v>
      </c>
      <c r="H17" s="13"/>
      <c r="I17" s="14"/>
      <c r="J17" s="15" t="n">
        <v>0</v>
      </c>
      <c r="L17" s="16" t="b">
        <f aca="false">TRUE()</f>
        <v>1</v>
      </c>
      <c r="M17" s="14"/>
      <c r="O17" s="17" t="s">
        <v>53</v>
      </c>
      <c r="P17" s="18" t="str">
        <f aca="false">IFERROR(J17/H17,"")</f>
        <v/>
      </c>
    </row>
    <row r="18" customFormat="false" ht="15" hidden="false" customHeight="false" outlineLevel="0" collapsed="false">
      <c r="A18" s="0" t="s">
        <v>88</v>
      </c>
      <c r="B18" s="0" t="s">
        <v>89</v>
      </c>
      <c r="C18" s="0" t="n">
        <v>10</v>
      </c>
      <c r="D18" s="0" t="s">
        <v>69</v>
      </c>
      <c r="E18" s="0" t="s">
        <v>20</v>
      </c>
      <c r="F18" s="0" t="s">
        <v>52</v>
      </c>
      <c r="G18" s="0" t="s">
        <v>29</v>
      </c>
      <c r="H18" s="13"/>
      <c r="I18" s="14"/>
      <c r="J18" s="15" t="n">
        <v>0</v>
      </c>
      <c r="L18" s="16" t="b">
        <f aca="false">TRUE()</f>
        <v>1</v>
      </c>
      <c r="M18" s="14" t="n">
        <v>20.1</v>
      </c>
      <c r="O18" s="17" t="s">
        <v>53</v>
      </c>
      <c r="P18" s="18" t="str">
        <f aca="false">IFERROR(J18/H18,"")</f>
        <v/>
      </c>
    </row>
    <row r="19" customFormat="false" ht="15" hidden="false" customHeight="false" outlineLevel="0" collapsed="false">
      <c r="A19" s="0" t="s">
        <v>90</v>
      </c>
      <c r="B19" s="0" t="s">
        <v>91</v>
      </c>
      <c r="C19" s="0" t="n">
        <v>9</v>
      </c>
      <c r="D19" s="0" t="s">
        <v>51</v>
      </c>
      <c r="E19" s="0" t="s">
        <v>20</v>
      </c>
      <c r="F19" s="0" t="s">
        <v>58</v>
      </c>
      <c r="G19" s="0" t="s">
        <v>29</v>
      </c>
      <c r="H19" s="13" t="n">
        <v>1.59564</v>
      </c>
      <c r="I19" s="14" t="n">
        <v>9.2</v>
      </c>
      <c r="J19" s="15" t="n">
        <v>36</v>
      </c>
      <c r="K19" s="0" t="n">
        <v>1.1</v>
      </c>
      <c r="L19" s="16" t="b">
        <f aca="false">TRUE()</f>
        <v>1</v>
      </c>
      <c r="M19" s="14" t="n">
        <v>5.9</v>
      </c>
      <c r="N19" s="17" t="s">
        <v>59</v>
      </c>
      <c r="O19" s="17" t="s">
        <v>53</v>
      </c>
      <c r="P19" s="18" t="n">
        <f aca="false">IFERROR(J19/H19,"")</f>
        <v>22.5614800330902</v>
      </c>
    </row>
    <row r="20" customFormat="false" ht="15" hidden="false" customHeight="false" outlineLevel="0" collapsed="false">
      <c r="A20" s="0" t="s">
        <v>92</v>
      </c>
      <c r="B20" s="0" t="s">
        <v>93</v>
      </c>
      <c r="C20" s="0" t="n">
        <v>13</v>
      </c>
      <c r="D20" s="0" t="s">
        <v>57</v>
      </c>
      <c r="E20" s="0" t="s">
        <v>20</v>
      </c>
      <c r="F20" s="0" t="s">
        <v>58</v>
      </c>
      <c r="G20" s="0" t="s">
        <v>29</v>
      </c>
      <c r="H20" s="13" t="n">
        <v>1.588099</v>
      </c>
      <c r="I20" s="14" t="n">
        <v>7.3</v>
      </c>
      <c r="J20" s="15" t="n">
        <v>33</v>
      </c>
      <c r="K20" s="0" t="n">
        <v>1</v>
      </c>
      <c r="L20" s="16" t="b">
        <f aca="false">FALSE()</f>
        <v>0</v>
      </c>
      <c r="M20" s="14" t="n">
        <v>5</v>
      </c>
      <c r="N20" s="17" t="s">
        <v>59</v>
      </c>
      <c r="O20" s="17" t="s">
        <v>53</v>
      </c>
      <c r="P20" s="18" t="n">
        <f aca="false">IFERROR(J20/H20,"")</f>
        <v>20.7795609719545</v>
      </c>
    </row>
    <row r="21" customFormat="false" ht="15" hidden="false" customHeight="false" outlineLevel="0" collapsed="false">
      <c r="A21" s="0" t="s">
        <v>94</v>
      </c>
      <c r="B21" s="0" t="s">
        <v>95</v>
      </c>
      <c r="C21" s="0" t="n">
        <v>9</v>
      </c>
      <c r="D21" s="0" t="s">
        <v>62</v>
      </c>
      <c r="E21" s="0" t="s">
        <v>20</v>
      </c>
      <c r="F21" s="0" t="s">
        <v>58</v>
      </c>
      <c r="G21" s="0" t="s">
        <v>29</v>
      </c>
      <c r="H21" s="13" t="n">
        <v>1.603458</v>
      </c>
      <c r="I21" s="14" t="n">
        <v>14.5</v>
      </c>
      <c r="J21" s="15" t="n">
        <v>38</v>
      </c>
      <c r="K21" s="0" t="n">
        <v>1.1</v>
      </c>
      <c r="L21" s="16" t="b">
        <f aca="false">TRUE()</f>
        <v>1</v>
      </c>
      <c r="M21" s="14" t="n">
        <v>6.5</v>
      </c>
      <c r="N21" s="17" t="s">
        <v>59</v>
      </c>
      <c r="O21" s="17" t="s">
        <v>53</v>
      </c>
      <c r="P21" s="18" t="n">
        <f aca="false">IFERROR(J21/H21,"")</f>
        <v>23.6987810095431</v>
      </c>
    </row>
    <row r="22" customFormat="false" ht="15" hidden="false" customHeight="false" outlineLevel="0" collapsed="false">
      <c r="A22" s="0" t="s">
        <v>96</v>
      </c>
      <c r="B22" s="0" t="s">
        <v>97</v>
      </c>
      <c r="C22" s="0" t="n">
        <v>12</v>
      </c>
      <c r="D22" s="0" t="s">
        <v>65</v>
      </c>
      <c r="E22" s="0" t="s">
        <v>20</v>
      </c>
      <c r="F22" s="0" t="s">
        <v>58</v>
      </c>
      <c r="G22" s="0" t="s">
        <v>29</v>
      </c>
      <c r="H22" s="13" t="n">
        <v>1.661259</v>
      </c>
      <c r="I22" s="14" t="n">
        <v>7.3</v>
      </c>
      <c r="J22" s="15" t="n">
        <v>33</v>
      </c>
      <c r="K22" s="0" t="n">
        <v>1</v>
      </c>
      <c r="L22" s="16" t="b">
        <f aca="false">FALSE()</f>
        <v>0</v>
      </c>
      <c r="M22" s="14" t="n">
        <v>3.2</v>
      </c>
      <c r="N22" s="17" t="s">
        <v>59</v>
      </c>
      <c r="O22" s="17" t="s">
        <v>53</v>
      </c>
      <c r="P22" s="18" t="n">
        <f aca="false">IFERROR(J22/H22,"")</f>
        <v>19.8644522016134</v>
      </c>
    </row>
    <row r="23" customFormat="false" ht="15" hidden="false" customHeight="false" outlineLevel="0" collapsed="false">
      <c r="A23" s="0" t="s">
        <v>98</v>
      </c>
      <c r="B23" s="0" t="s">
        <v>99</v>
      </c>
      <c r="C23" s="0" t="n">
        <v>9</v>
      </c>
      <c r="D23" s="0" t="s">
        <v>69</v>
      </c>
      <c r="E23" s="0" t="s">
        <v>20</v>
      </c>
      <c r="F23" s="0" t="s">
        <v>58</v>
      </c>
      <c r="G23" s="0" t="s">
        <v>29</v>
      </c>
      <c r="H23" s="13" t="n">
        <v>1.588327</v>
      </c>
      <c r="I23" s="14" t="n">
        <v>10.6</v>
      </c>
      <c r="J23" s="15" t="n">
        <v>40</v>
      </c>
      <c r="K23" s="0" t="n">
        <v>1.2</v>
      </c>
      <c r="L23" s="16" t="b">
        <f aca="false">TRUE()</f>
        <v>1</v>
      </c>
      <c r="M23" s="14" t="n">
        <v>1.5</v>
      </c>
      <c r="N23" s="17" t="s">
        <v>59</v>
      </c>
      <c r="O23" s="17" t="s">
        <v>53</v>
      </c>
      <c r="P23" s="18" t="n">
        <f aca="false">IFERROR(J23/H23,"")</f>
        <v>25.1837310578993</v>
      </c>
    </row>
    <row r="24" customFormat="false" ht="15" hidden="false" customHeight="false" outlineLevel="0" collapsed="false">
      <c r="A24" s="0" t="s">
        <v>100</v>
      </c>
      <c r="B24" s="0" t="s">
        <v>101</v>
      </c>
      <c r="C24" s="0" t="n">
        <v>9</v>
      </c>
      <c r="D24" s="0" t="s">
        <v>62</v>
      </c>
      <c r="E24" s="0" t="s">
        <v>20</v>
      </c>
      <c r="F24" s="0" t="s">
        <v>58</v>
      </c>
      <c r="G24" s="0" t="s">
        <v>29</v>
      </c>
      <c r="H24" s="13" t="n">
        <v>1.604659</v>
      </c>
      <c r="I24" s="14" t="n">
        <v>10.4</v>
      </c>
      <c r="J24" s="15" t="n">
        <v>44.74</v>
      </c>
      <c r="K24" s="0" t="n">
        <v>1.4</v>
      </c>
      <c r="L24" s="16" t="b">
        <f aca="false">TRUE()</f>
        <v>1</v>
      </c>
      <c r="M24" s="14" t="n">
        <v>7.9</v>
      </c>
      <c r="N24" s="17" t="s">
        <v>59</v>
      </c>
      <c r="O24" s="17" t="s">
        <v>53</v>
      </c>
      <c r="P24" s="18" t="n">
        <f aca="false">IFERROR(J24/H24,"")</f>
        <v>27.8813131014128</v>
      </c>
    </row>
    <row r="25" customFormat="false" ht="15" hidden="false" customHeight="false" outlineLevel="0" collapsed="false">
      <c r="A25" s="0" t="s">
        <v>102</v>
      </c>
      <c r="B25" s="0" t="s">
        <v>103</v>
      </c>
      <c r="C25" s="0" t="n">
        <v>13</v>
      </c>
      <c r="D25" s="0" t="s">
        <v>69</v>
      </c>
      <c r="E25" s="0" t="s">
        <v>20</v>
      </c>
      <c r="F25" s="0" t="s">
        <v>58</v>
      </c>
      <c r="G25" s="0" t="s">
        <v>29</v>
      </c>
      <c r="H25" s="13" t="n">
        <v>1.599026</v>
      </c>
      <c r="I25" s="14" t="n">
        <v>8.6</v>
      </c>
      <c r="J25" s="15" t="n">
        <v>32.81</v>
      </c>
      <c r="K25" s="0" t="n">
        <v>1</v>
      </c>
      <c r="L25" s="16" t="b">
        <f aca="false">FALSE()</f>
        <v>0</v>
      </c>
      <c r="M25" s="14" t="n">
        <v>5.1</v>
      </c>
      <c r="N25" s="17" t="s">
        <v>59</v>
      </c>
      <c r="O25" s="17" t="s">
        <v>53</v>
      </c>
      <c r="P25" s="18" t="n">
        <f aca="false">IFERROR(J25/H25,"")</f>
        <v>20.5187407834519</v>
      </c>
    </row>
    <row r="26" customFormat="false" ht="15" hidden="false" customHeight="false" outlineLevel="0" collapsed="false">
      <c r="A26" s="0" t="s">
        <v>104</v>
      </c>
      <c r="B26" s="0" t="s">
        <v>105</v>
      </c>
      <c r="C26" s="0" t="n">
        <v>13</v>
      </c>
      <c r="D26" s="0" t="s">
        <v>57</v>
      </c>
      <c r="E26" s="0" t="s">
        <v>20</v>
      </c>
      <c r="F26" s="0" t="s">
        <v>58</v>
      </c>
      <c r="G26" s="0" t="s">
        <v>29</v>
      </c>
      <c r="H26" s="13" t="n">
        <v>1.588289</v>
      </c>
      <c r="I26" s="14" t="n">
        <v>8</v>
      </c>
      <c r="J26" s="15" t="n">
        <v>35.88</v>
      </c>
      <c r="K26" s="0" t="n">
        <v>1.1</v>
      </c>
      <c r="L26" s="16" t="b">
        <f aca="false">TRUE()</f>
        <v>1</v>
      </c>
      <c r="M26" s="14" t="n">
        <v>8</v>
      </c>
      <c r="N26" s="17" t="s">
        <v>59</v>
      </c>
      <c r="O26" s="17" t="s">
        <v>53</v>
      </c>
      <c r="P26" s="18" t="n">
        <f aca="false">IFERROR(J26/H26,"")</f>
        <v>22.5903472227032</v>
      </c>
    </row>
    <row r="27" customFormat="false" ht="15" hidden="false" customHeight="false" outlineLevel="0" collapsed="false">
      <c r="A27" s="0" t="s">
        <v>106</v>
      </c>
      <c r="B27" s="0" t="s">
        <v>107</v>
      </c>
      <c r="C27" s="0" t="n">
        <v>4</v>
      </c>
      <c r="D27" s="0" t="s">
        <v>72</v>
      </c>
      <c r="E27" s="0" t="s">
        <v>20</v>
      </c>
      <c r="F27" s="0" t="s">
        <v>58</v>
      </c>
      <c r="G27" s="0" t="s">
        <v>29</v>
      </c>
      <c r="H27" s="13" t="n">
        <v>2.74315</v>
      </c>
      <c r="I27" s="14" t="n">
        <v>8.1</v>
      </c>
      <c r="J27" s="15" t="n">
        <v>51.47</v>
      </c>
      <c r="K27" s="0" t="n">
        <v>1</v>
      </c>
      <c r="L27" s="16" t="b">
        <f aca="false">FALSE()</f>
        <v>0</v>
      </c>
      <c r="M27" s="14" t="n">
        <v>3.6</v>
      </c>
      <c r="N27" s="17" t="s">
        <v>59</v>
      </c>
      <c r="O27" s="17" t="s">
        <v>66</v>
      </c>
      <c r="P27" s="18" t="n">
        <f aca="false">IFERROR(J27/H27,"")</f>
        <v>18.7631008147568</v>
      </c>
    </row>
    <row r="28" customFormat="false" ht="15" hidden="false" customHeight="false" outlineLevel="0" collapsed="false">
      <c r="A28" s="0" t="s">
        <v>108</v>
      </c>
      <c r="B28" s="0" t="s">
        <v>109</v>
      </c>
      <c r="C28" s="0" t="n">
        <v>10</v>
      </c>
      <c r="D28" s="0" t="s">
        <v>72</v>
      </c>
      <c r="E28" s="0" t="s">
        <v>21</v>
      </c>
      <c r="F28" s="0" t="s">
        <v>52</v>
      </c>
      <c r="G28" s="0" t="s">
        <v>28</v>
      </c>
      <c r="H28" s="13"/>
      <c r="I28" s="14"/>
      <c r="J28" s="15" t="n">
        <v>0</v>
      </c>
      <c r="L28" s="16" t="b">
        <f aca="false">FALSE()</f>
        <v>0</v>
      </c>
      <c r="M28" s="14" t="n">
        <v>5.8</v>
      </c>
      <c r="O28" s="17" t="s">
        <v>66</v>
      </c>
      <c r="P28" s="18" t="str">
        <f aca="false">IFERROR(J28/H28,"")</f>
        <v/>
      </c>
    </row>
    <row r="29" customFormat="false" ht="15" hidden="false" customHeight="false" outlineLevel="0" collapsed="false">
      <c r="A29" s="0" t="s">
        <v>108</v>
      </c>
      <c r="B29" s="0" t="s">
        <v>110</v>
      </c>
      <c r="C29" s="0" t="n">
        <v>13</v>
      </c>
      <c r="D29" s="0" t="s">
        <v>72</v>
      </c>
      <c r="E29" s="0" t="s">
        <v>21</v>
      </c>
      <c r="F29" s="0" t="s">
        <v>52</v>
      </c>
      <c r="G29" s="0" t="s">
        <v>28</v>
      </c>
      <c r="H29" s="13"/>
      <c r="I29" s="14"/>
      <c r="J29" s="15" t="n">
        <v>0</v>
      </c>
      <c r="L29" s="16" t="b">
        <f aca="false">FALSE()</f>
        <v>0</v>
      </c>
      <c r="M29" s="14"/>
      <c r="O29" s="17" t="s">
        <v>59</v>
      </c>
      <c r="P29" s="18" t="str">
        <f aca="false">IFERROR(J29/H29,"")</f>
        <v/>
      </c>
    </row>
    <row r="30" customFormat="false" ht="15" hidden="false" customHeight="false" outlineLevel="0" collapsed="false">
      <c r="A30" s="0" t="s">
        <v>111</v>
      </c>
      <c r="B30" s="0" t="s">
        <v>112</v>
      </c>
      <c r="C30" s="0" t="n">
        <v>9</v>
      </c>
      <c r="D30" s="0" t="s">
        <v>62</v>
      </c>
      <c r="E30" s="0" t="s">
        <v>21</v>
      </c>
      <c r="F30" s="0" t="s">
        <v>113</v>
      </c>
      <c r="G30" s="0" t="s">
        <v>28</v>
      </c>
      <c r="H30" s="13" t="n">
        <v>0</v>
      </c>
      <c r="I30" s="14" t="n">
        <v>0</v>
      </c>
      <c r="J30" s="15" t="n">
        <v>0</v>
      </c>
      <c r="K30" s="0" t="n">
        <v>0</v>
      </c>
      <c r="L30" s="16" t="b">
        <f aca="false">FALSE()</f>
        <v>0</v>
      </c>
      <c r="M30" s="14"/>
      <c r="O30" s="17" t="s">
        <v>66</v>
      </c>
      <c r="P30" s="18" t="str">
        <f aca="false">IFERROR(J30/H30,"")</f>
        <v/>
      </c>
    </row>
    <row r="31" customFormat="false" ht="15" hidden="false" customHeight="false" outlineLevel="0" collapsed="false">
      <c r="A31" s="0" t="s">
        <v>111</v>
      </c>
      <c r="B31" s="0" t="s">
        <v>114</v>
      </c>
      <c r="C31" s="0" t="n">
        <v>9</v>
      </c>
      <c r="D31" s="0" t="s">
        <v>62</v>
      </c>
      <c r="E31" s="0" t="s">
        <v>21</v>
      </c>
      <c r="F31" s="0" t="s">
        <v>113</v>
      </c>
      <c r="G31" s="0" t="s">
        <v>28</v>
      </c>
      <c r="H31" s="13" t="n">
        <v>0</v>
      </c>
      <c r="I31" s="14" t="n">
        <v>0</v>
      </c>
      <c r="J31" s="15" t="n">
        <v>0</v>
      </c>
      <c r="K31" s="0" t="n">
        <v>0</v>
      </c>
      <c r="L31" s="16" t="b">
        <f aca="false">FALSE()</f>
        <v>0</v>
      </c>
      <c r="M31" s="14"/>
      <c r="O31" s="17" t="s">
        <v>66</v>
      </c>
      <c r="P31" s="18" t="str">
        <f aca="false">IFERROR(J31/H31,"")</f>
        <v/>
      </c>
    </row>
    <row r="32" customFormat="false" ht="15" hidden="false" customHeight="false" outlineLevel="0" collapsed="false">
      <c r="A32" s="0" t="s">
        <v>111</v>
      </c>
      <c r="B32" s="0" t="s">
        <v>91</v>
      </c>
      <c r="C32" s="0" t="n">
        <v>9</v>
      </c>
      <c r="D32" s="0" t="s">
        <v>62</v>
      </c>
      <c r="E32" s="0" t="s">
        <v>21</v>
      </c>
      <c r="F32" s="0" t="s">
        <v>115</v>
      </c>
      <c r="G32" s="0" t="s">
        <v>28</v>
      </c>
      <c r="H32" s="13"/>
      <c r="I32" s="14"/>
      <c r="J32" s="15" t="n">
        <v>0</v>
      </c>
      <c r="L32" s="16" t="b">
        <f aca="false">FALSE()</f>
        <v>0</v>
      </c>
      <c r="M32" s="14" t="n">
        <v>7.3</v>
      </c>
      <c r="O32" s="17" t="s">
        <v>66</v>
      </c>
      <c r="P32" s="18" t="str">
        <f aca="false">IFERROR(J32/H32,"")</f>
        <v/>
      </c>
    </row>
    <row r="33" customFormat="false" ht="15" hidden="false" customHeight="false" outlineLevel="0" collapsed="false">
      <c r="A33" s="0" t="s">
        <v>116</v>
      </c>
      <c r="B33" s="0" t="s">
        <v>117</v>
      </c>
      <c r="C33" s="0" t="n">
        <v>22</v>
      </c>
      <c r="D33" s="0" t="s">
        <v>72</v>
      </c>
      <c r="E33" s="0" t="s">
        <v>22</v>
      </c>
      <c r="F33" s="0" t="s">
        <v>58</v>
      </c>
      <c r="G33" s="0" t="s">
        <v>29</v>
      </c>
      <c r="H33" s="13" t="n">
        <v>1.27333</v>
      </c>
      <c r="I33" s="14" t="n">
        <v>5.3</v>
      </c>
      <c r="J33" s="15" t="n">
        <v>43.21</v>
      </c>
      <c r="K33" s="0" t="n">
        <v>1</v>
      </c>
      <c r="L33" s="16" t="b">
        <f aca="false">FALSE()</f>
        <v>0</v>
      </c>
      <c r="M33" s="14" t="n">
        <v>2.5</v>
      </c>
      <c r="N33" s="17" t="s">
        <v>118</v>
      </c>
      <c r="O33" s="17" t="s">
        <v>59</v>
      </c>
      <c r="P33" s="18" t="n">
        <f aca="false">IFERROR(J33/H33,"")</f>
        <v>33.9346438079681</v>
      </c>
    </row>
    <row r="34" customFormat="false" ht="15" hidden="false" customHeight="false" outlineLevel="0" collapsed="false">
      <c r="A34" s="0" t="s">
        <v>116</v>
      </c>
      <c r="B34" s="0" t="s">
        <v>119</v>
      </c>
      <c r="C34" s="0" t="n">
        <v>23</v>
      </c>
      <c r="D34" s="0" t="s">
        <v>72</v>
      </c>
      <c r="E34" s="0" t="s">
        <v>22</v>
      </c>
      <c r="F34" s="0" t="s">
        <v>58</v>
      </c>
      <c r="G34" s="0" t="s">
        <v>29</v>
      </c>
      <c r="H34" s="13" t="n">
        <v>1.080879</v>
      </c>
      <c r="I34" s="14" t="n">
        <v>4.4</v>
      </c>
      <c r="J34" s="15" t="n">
        <v>43.98</v>
      </c>
      <c r="K34" s="0" t="n">
        <v>1.1</v>
      </c>
      <c r="L34" s="16" t="b">
        <f aca="false">TRUE()</f>
        <v>1</v>
      </c>
      <c r="M34" s="14" t="n">
        <v>5.4</v>
      </c>
      <c r="N34" s="17" t="s">
        <v>66</v>
      </c>
      <c r="O34" s="17" t="s">
        <v>118</v>
      </c>
      <c r="P34" s="18" t="n">
        <f aca="false">IFERROR(J34/H34,"")</f>
        <v>40.6891058111037</v>
      </c>
    </row>
    <row r="35" customFormat="false" ht="15" hidden="false" customHeight="false" outlineLevel="0" collapsed="false">
      <c r="A35" s="0" t="s">
        <v>120</v>
      </c>
      <c r="B35" s="0" t="s">
        <v>121</v>
      </c>
      <c r="C35" s="0" t="n">
        <v>20</v>
      </c>
      <c r="D35" s="0" t="s">
        <v>122</v>
      </c>
      <c r="E35" s="0" t="s">
        <v>22</v>
      </c>
      <c r="F35" s="0" t="s">
        <v>58</v>
      </c>
      <c r="G35" s="0" t="s">
        <v>29</v>
      </c>
      <c r="H35" s="13" t="n">
        <v>1.938847</v>
      </c>
      <c r="I35" s="14" t="n">
        <v>7.7</v>
      </c>
      <c r="J35" s="15" t="n">
        <v>41.7</v>
      </c>
      <c r="K35" s="0" t="n">
        <v>1</v>
      </c>
      <c r="L35" s="16" t="b">
        <f aca="false">FALSE()</f>
        <v>0</v>
      </c>
      <c r="M35" s="14" t="n">
        <v>7.3</v>
      </c>
      <c r="N35" s="17" t="s">
        <v>59</v>
      </c>
      <c r="O35" s="17" t="s">
        <v>118</v>
      </c>
      <c r="P35" s="18" t="n">
        <f aca="false">IFERROR(J35/H35,"")</f>
        <v>21.5076279871491</v>
      </c>
    </row>
    <row r="36" customFormat="false" ht="15" hidden="false" customHeight="false" outlineLevel="0" collapsed="false">
      <c r="A36" s="0" t="s">
        <v>123</v>
      </c>
      <c r="B36" s="0" t="s">
        <v>124</v>
      </c>
      <c r="C36" s="0" t="n">
        <v>21</v>
      </c>
      <c r="D36" s="0" t="s">
        <v>122</v>
      </c>
      <c r="E36" s="0" t="s">
        <v>23</v>
      </c>
      <c r="F36" s="0" t="s">
        <v>58</v>
      </c>
      <c r="G36" s="0" t="s">
        <v>29</v>
      </c>
      <c r="H36" s="13" t="n">
        <v>1.639482</v>
      </c>
      <c r="I36" s="14" t="n">
        <v>6.8</v>
      </c>
      <c r="J36" s="15" t="n">
        <v>37.26</v>
      </c>
      <c r="K36" s="0" t="n">
        <v>1.1</v>
      </c>
      <c r="L36" s="16" t="b">
        <f aca="false">TRUE()</f>
        <v>1</v>
      </c>
      <c r="M36" s="14" t="n">
        <v>2.4</v>
      </c>
      <c r="N36" s="17" t="s">
        <v>118</v>
      </c>
      <c r="O36" s="17" t="s">
        <v>59</v>
      </c>
      <c r="P36" s="18" t="n">
        <f aca="false">IFERROR(J36/H36,"")</f>
        <v>22.7266905034639</v>
      </c>
    </row>
    <row r="37" customFormat="false" ht="15" hidden="false" customHeight="false" outlineLevel="0" collapsed="false">
      <c r="A37" s="0" t="s">
        <v>123</v>
      </c>
      <c r="B37" s="0" t="s">
        <v>125</v>
      </c>
      <c r="C37" s="0" t="n">
        <v>15</v>
      </c>
      <c r="D37" s="0" t="s">
        <v>122</v>
      </c>
      <c r="E37" s="0" t="s">
        <v>23</v>
      </c>
      <c r="F37" s="0" t="s">
        <v>52</v>
      </c>
      <c r="G37" s="0" t="s">
        <v>29</v>
      </c>
      <c r="H37" s="13"/>
      <c r="I37" s="14"/>
      <c r="J37" s="15" t="n">
        <v>0</v>
      </c>
      <c r="L37" s="16" t="b">
        <f aca="false">TRUE()</f>
        <v>1</v>
      </c>
      <c r="M37" s="14"/>
      <c r="N37" s="17" t="s">
        <v>118</v>
      </c>
      <c r="O37" s="17" t="s">
        <v>59</v>
      </c>
      <c r="P37" s="18" t="str">
        <f aca="false">IFERROR(J37/H37,"")</f>
        <v/>
      </c>
    </row>
    <row r="38" customFormat="false" ht="15" hidden="false" customHeight="false" outlineLevel="0" collapsed="false">
      <c r="A38" s="0" t="s">
        <v>126</v>
      </c>
      <c r="B38" s="0" t="s">
        <v>127</v>
      </c>
      <c r="C38" s="0" t="n">
        <v>0</v>
      </c>
      <c r="D38" s="0" t="s">
        <v>62</v>
      </c>
      <c r="E38" s="0" t="s">
        <v>23</v>
      </c>
      <c r="F38" s="0" t="s">
        <v>52</v>
      </c>
      <c r="G38" s="0" t="s">
        <v>29</v>
      </c>
      <c r="H38" s="13"/>
      <c r="I38" s="14"/>
      <c r="J38" s="15" t="n">
        <v>0</v>
      </c>
      <c r="L38" s="16" t="b">
        <f aca="false">FALSE()</f>
        <v>0</v>
      </c>
      <c r="M38" s="14" t="n">
        <v>5.2</v>
      </c>
      <c r="N38" s="17" t="s">
        <v>59</v>
      </c>
      <c r="O38" s="17" t="s">
        <v>118</v>
      </c>
      <c r="P38" s="18" t="str">
        <f aca="false">IFERROR(J38/H38,"")</f>
        <v/>
      </c>
    </row>
    <row r="39" customFormat="false" ht="15" hidden="false" customHeight="false" outlineLevel="0" collapsed="false">
      <c r="A39" s="0" t="s">
        <v>126</v>
      </c>
      <c r="B39" s="0" t="s">
        <v>128</v>
      </c>
      <c r="C39" s="0" t="n">
        <v>0</v>
      </c>
      <c r="D39" s="0" t="s">
        <v>62</v>
      </c>
      <c r="E39" s="0" t="s">
        <v>23</v>
      </c>
      <c r="F39" s="0" t="s">
        <v>58</v>
      </c>
      <c r="G39" s="0" t="s">
        <v>29</v>
      </c>
      <c r="H39" s="13" t="n">
        <v>1.684274</v>
      </c>
      <c r="I39" s="14" t="n">
        <v>6.5</v>
      </c>
      <c r="J39" s="15" t="n">
        <v>42.9</v>
      </c>
      <c r="K39" s="0" t="n">
        <v>1</v>
      </c>
      <c r="L39" s="16" t="b">
        <f aca="false">FALSE()</f>
        <v>0</v>
      </c>
      <c r="M39" s="14" t="n">
        <v>5.9</v>
      </c>
      <c r="N39" s="17" t="s">
        <v>59</v>
      </c>
      <c r="O39" s="17" t="s">
        <v>118</v>
      </c>
      <c r="P39" s="18" t="n">
        <f aca="false">IFERROR(J39/H39,"")</f>
        <v>25.4709150648885</v>
      </c>
    </row>
    <row r="40" customFormat="false" ht="15" hidden="false" customHeight="false" outlineLevel="0" collapsed="false">
      <c r="A40" s="0" t="s">
        <v>129</v>
      </c>
      <c r="B40" s="0" t="s">
        <v>130</v>
      </c>
      <c r="C40" s="0" t="n">
        <v>23</v>
      </c>
      <c r="D40" s="0" t="s">
        <v>72</v>
      </c>
      <c r="E40" s="0" t="s">
        <v>23</v>
      </c>
      <c r="F40" s="0" t="s">
        <v>52</v>
      </c>
      <c r="G40" s="0" t="s">
        <v>29</v>
      </c>
      <c r="H40" s="13"/>
      <c r="I40" s="14"/>
      <c r="J40" s="15" t="n">
        <v>0</v>
      </c>
      <c r="L40" s="16" t="b">
        <f aca="false">TRUE()</f>
        <v>1</v>
      </c>
      <c r="M40" s="14" t="n">
        <v>11</v>
      </c>
      <c r="N40" s="17" t="s">
        <v>118</v>
      </c>
      <c r="O40" s="17" t="s">
        <v>59</v>
      </c>
      <c r="P40" s="18" t="str">
        <f aca="false">IFERROR(J40/H40,"")</f>
        <v/>
      </c>
    </row>
    <row r="41" customFormat="false" ht="15" hidden="false" customHeight="false" outlineLevel="0" collapsed="false">
      <c r="A41" s="0" t="s">
        <v>131</v>
      </c>
      <c r="B41" s="0" t="s">
        <v>132</v>
      </c>
      <c r="C41" s="0" t="n">
        <v>22</v>
      </c>
      <c r="D41" s="0" t="s">
        <v>122</v>
      </c>
      <c r="E41" s="0" t="s">
        <v>23</v>
      </c>
      <c r="F41" s="0" t="s">
        <v>52</v>
      </c>
      <c r="G41" s="0" t="s">
        <v>28</v>
      </c>
      <c r="H41" s="13"/>
      <c r="I41" s="14"/>
      <c r="J41" s="15" t="n">
        <v>0</v>
      </c>
      <c r="L41" s="16" t="b">
        <f aca="false">FALSE()</f>
        <v>0</v>
      </c>
      <c r="M41" s="14"/>
      <c r="N41" s="17" t="s">
        <v>66</v>
      </c>
      <c r="O41" s="17" t="s">
        <v>118</v>
      </c>
      <c r="P41" s="18" t="str">
        <f aca="false">IFERROR(J41/H41,"")</f>
        <v/>
      </c>
    </row>
    <row r="42" customFormat="false" ht="15" hidden="false" customHeight="false" outlineLevel="0" collapsed="false">
      <c r="A42" s="0" t="s">
        <v>131</v>
      </c>
      <c r="B42" s="0" t="s">
        <v>133</v>
      </c>
      <c r="C42" s="0" t="n">
        <v>22</v>
      </c>
      <c r="D42" s="0" t="s">
        <v>122</v>
      </c>
      <c r="E42" s="0" t="s">
        <v>23</v>
      </c>
      <c r="F42" s="0" t="s">
        <v>52</v>
      </c>
      <c r="G42" s="0" t="s">
        <v>29</v>
      </c>
      <c r="H42" s="13"/>
      <c r="I42" s="14"/>
      <c r="J42" s="15" t="n">
        <v>0</v>
      </c>
      <c r="L42" s="16" t="b">
        <f aca="false">TRUE()</f>
        <v>1</v>
      </c>
      <c r="M42" s="14" t="n">
        <v>20.8</v>
      </c>
      <c r="N42" s="17" t="s">
        <v>66</v>
      </c>
      <c r="O42" s="17" t="s">
        <v>118</v>
      </c>
      <c r="P42" s="18" t="str">
        <f aca="false">IFERROR(J42/H42,"")</f>
        <v/>
      </c>
    </row>
    <row r="43" customFormat="false" ht="15" hidden="false" customHeight="false" outlineLevel="0" collapsed="false">
      <c r="A43" s="0" t="s">
        <v>134</v>
      </c>
      <c r="B43" s="0" t="s">
        <v>135</v>
      </c>
      <c r="C43" s="0" t="n">
        <v>2</v>
      </c>
      <c r="D43" s="0" t="s">
        <v>122</v>
      </c>
      <c r="E43" s="0" t="s">
        <v>24</v>
      </c>
      <c r="F43" s="0" t="s">
        <v>52</v>
      </c>
      <c r="G43" s="0" t="s">
        <v>29</v>
      </c>
      <c r="H43" s="13"/>
      <c r="I43" s="14"/>
      <c r="J43" s="15" t="n">
        <v>0</v>
      </c>
      <c r="L43" s="16" t="b">
        <f aca="false">FALSE()</f>
        <v>0</v>
      </c>
      <c r="M43" s="14"/>
      <c r="N43" s="17" t="s">
        <v>66</v>
      </c>
      <c r="O43" s="17" t="s">
        <v>118</v>
      </c>
      <c r="P43" s="18" t="str">
        <f aca="false">IFERROR(J43/H43,"")</f>
        <v/>
      </c>
    </row>
    <row r="44" customFormat="false" ht="15" hidden="false" customHeight="false" outlineLevel="0" collapsed="false">
      <c r="A44" s="0" t="s">
        <v>134</v>
      </c>
      <c r="B44" s="0" t="s">
        <v>136</v>
      </c>
      <c r="C44" s="0" t="n">
        <v>21</v>
      </c>
      <c r="D44" s="0" t="s">
        <v>122</v>
      </c>
      <c r="E44" s="0" t="s">
        <v>24</v>
      </c>
      <c r="F44" s="0" t="s">
        <v>58</v>
      </c>
      <c r="G44" s="0" t="s">
        <v>29</v>
      </c>
      <c r="H44" s="13" t="n">
        <v>0.997285</v>
      </c>
      <c r="I44" s="14" t="n">
        <v>3.7</v>
      </c>
      <c r="J44" s="15" t="n">
        <v>39.6</v>
      </c>
      <c r="K44" s="0" t="n">
        <v>1</v>
      </c>
      <c r="L44" s="16" t="b">
        <f aca="false">FALSE()</f>
        <v>0</v>
      </c>
      <c r="M44" s="14" t="n">
        <v>1.5</v>
      </c>
      <c r="N44" s="17" t="s">
        <v>66</v>
      </c>
      <c r="O44" s="17" t="s">
        <v>118</v>
      </c>
      <c r="P44" s="18" t="n">
        <f aca="false">IFERROR(J44/H44,"")</f>
        <v>39.7078066951774</v>
      </c>
    </row>
    <row r="45" customFormat="false" ht="15" hidden="false" customHeight="false" outlineLevel="0" collapsed="false">
      <c r="A45" s="0" t="s">
        <v>134</v>
      </c>
      <c r="B45" s="0" t="s">
        <v>137</v>
      </c>
      <c r="C45" s="0" t="n">
        <v>21</v>
      </c>
      <c r="D45" s="0" t="s">
        <v>122</v>
      </c>
      <c r="E45" s="0" t="s">
        <v>24</v>
      </c>
      <c r="F45" s="0" t="s">
        <v>58</v>
      </c>
      <c r="G45" s="0" t="s">
        <v>29</v>
      </c>
      <c r="H45" s="13" t="n">
        <v>1.089388</v>
      </c>
      <c r="I45" s="14" t="n">
        <v>4</v>
      </c>
      <c r="J45" s="15" t="n">
        <v>47.06</v>
      </c>
      <c r="K45" s="0" t="n">
        <v>1.1</v>
      </c>
      <c r="L45" s="16" t="b">
        <f aca="false">TRUE()</f>
        <v>1</v>
      </c>
      <c r="M45" s="14" t="n">
        <v>4.2</v>
      </c>
      <c r="N45" s="17" t="s">
        <v>118</v>
      </c>
      <c r="O45" s="17" t="s">
        <v>66</v>
      </c>
      <c r="P45" s="18" t="n">
        <f aca="false">IFERROR(J45/H45,"")</f>
        <v>43.1985665346048</v>
      </c>
    </row>
    <row r="46" customFormat="false" ht="15" hidden="false" customHeight="false" outlineLevel="0" collapsed="false">
      <c r="A46" s="0" t="s">
        <v>138</v>
      </c>
      <c r="B46" s="0" t="s">
        <v>71</v>
      </c>
      <c r="C46" s="0" t="n">
        <v>21</v>
      </c>
      <c r="D46" s="0" t="s">
        <v>57</v>
      </c>
      <c r="E46" s="0" t="s">
        <v>24</v>
      </c>
      <c r="F46" s="0" t="s">
        <v>58</v>
      </c>
      <c r="G46" s="0" t="s">
        <v>29</v>
      </c>
      <c r="H46" s="13" t="n">
        <v>1.2</v>
      </c>
      <c r="I46" s="14" t="n">
        <v>5</v>
      </c>
      <c r="J46" s="15" t="n">
        <v>44.33</v>
      </c>
      <c r="K46" s="0" t="n">
        <v>1.1</v>
      </c>
      <c r="L46" s="16" t="b">
        <f aca="false">TRUE()</f>
        <v>1</v>
      </c>
      <c r="M46" s="14" t="n">
        <v>7.8</v>
      </c>
      <c r="N46" s="17" t="s">
        <v>66</v>
      </c>
      <c r="O46" s="17" t="s">
        <v>118</v>
      </c>
      <c r="P46" s="18" t="n">
        <f aca="false">IFERROR(J46/H46,"")</f>
        <v>36.9416666666667</v>
      </c>
    </row>
    <row r="47" customFormat="false" ht="15" hidden="false" customHeight="false" outlineLevel="0" collapsed="false">
      <c r="A47" s="0" t="s">
        <v>139</v>
      </c>
      <c r="B47" s="0" t="s">
        <v>140</v>
      </c>
      <c r="C47" s="0" t="n">
        <v>17</v>
      </c>
      <c r="D47" s="0" t="s">
        <v>72</v>
      </c>
      <c r="E47" s="0" t="s">
        <v>24</v>
      </c>
      <c r="F47" s="0" t="s">
        <v>58</v>
      </c>
      <c r="G47" s="0" t="s">
        <v>29</v>
      </c>
      <c r="H47" s="13" t="n">
        <v>1.416491</v>
      </c>
      <c r="I47" s="14" t="n">
        <v>7.5</v>
      </c>
      <c r="J47" s="15" t="n">
        <v>42.03</v>
      </c>
      <c r="K47" s="0" t="n">
        <v>1</v>
      </c>
      <c r="L47" s="16" t="b">
        <f aca="false">FALSE()</f>
        <v>0</v>
      </c>
      <c r="M47" s="14" t="n">
        <v>2.2</v>
      </c>
      <c r="N47" s="17" t="s">
        <v>118</v>
      </c>
      <c r="O47" s="17" t="s">
        <v>66</v>
      </c>
      <c r="P47" s="18" t="n">
        <f aca="false">IFERROR(J47/H47,"")</f>
        <v>29.6719146115295</v>
      </c>
    </row>
    <row r="48" customFormat="false" ht="15" hidden="false" customHeight="false" outlineLevel="0" collapsed="false">
      <c r="A48" s="0" t="s">
        <v>141</v>
      </c>
      <c r="B48" s="0" t="s">
        <v>142</v>
      </c>
      <c r="C48" s="0" t="n">
        <v>15</v>
      </c>
      <c r="D48" s="0" t="s">
        <v>62</v>
      </c>
      <c r="E48" s="0" t="s">
        <v>25</v>
      </c>
      <c r="F48" s="0" t="s">
        <v>58</v>
      </c>
      <c r="G48" s="0" t="s">
        <v>31</v>
      </c>
      <c r="H48" s="13" t="n">
        <v>21.37</v>
      </c>
      <c r="I48" s="14" t="n">
        <v>69</v>
      </c>
      <c r="J48" s="15" t="n">
        <v>369.93</v>
      </c>
      <c r="K48" s="0" t="n">
        <v>1</v>
      </c>
      <c r="L48" s="16" t="b">
        <f aca="false">FALSE()</f>
        <v>0</v>
      </c>
      <c r="M48" s="14" t="n">
        <v>3.3</v>
      </c>
      <c r="N48" s="17" t="s">
        <v>66</v>
      </c>
      <c r="O48" s="17" t="s">
        <v>66</v>
      </c>
      <c r="P48" s="18" t="n">
        <f aca="false">IFERROR(J48/H48,"")</f>
        <v>17.310715956949</v>
      </c>
    </row>
    <row r="49" customFormat="false" ht="15" hidden="false" customHeight="false" outlineLevel="0" collapsed="false">
      <c r="H49" s="13"/>
      <c r="I49" s="14"/>
      <c r="J49" s="15"/>
      <c r="M49" s="14"/>
      <c r="P49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0"/>
  </cols>
  <sheetData>
    <row r="1" customFormat="false" ht="24.45" hidden="false" customHeight="false" outlineLevel="0" collapsed="false">
      <c r="A1" s="1" t="s">
        <v>143</v>
      </c>
      <c r="B1" s="1"/>
      <c r="C1" s="1"/>
      <c r="D1" s="1"/>
    </row>
    <row r="3" customFormat="false" ht="45" hidden="false" customHeight="true" outlineLevel="0" collapsed="false">
      <c r="B3" s="19" t="s">
        <v>144</v>
      </c>
    </row>
    <row r="5" customFormat="false" ht="45" hidden="false" customHeight="true" outlineLevel="0" collapsed="false">
      <c r="B5" s="19" t="s">
        <v>145</v>
      </c>
    </row>
    <row r="7" customFormat="false" ht="45" hidden="false" customHeight="true" outlineLevel="0" collapsed="false">
      <c r="B7" s="19" t="s">
        <v>146</v>
      </c>
    </row>
    <row r="9" customFormat="false" ht="45" hidden="false" customHeight="true" outlineLevel="0" collapsed="false">
      <c r="B9" s="19" t="s">
        <v>147</v>
      </c>
    </row>
    <row r="11" customFormat="false" ht="45" hidden="false" customHeight="true" outlineLevel="0" collapsed="false">
      <c r="B11" s="19" t="s">
        <v>148</v>
      </c>
    </row>
    <row r="13" customFormat="false" ht="45" hidden="false" customHeight="true" outlineLevel="0" collapsed="false">
      <c r="B13" s="19" t="s">
        <v>149</v>
      </c>
    </row>
    <row r="15" customFormat="false" ht="45" hidden="false" customHeight="true" outlineLevel="0" collapsed="false">
      <c r="B15" s="19" t="s">
        <v>150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2026-07-13T20:24:57Z</dcterms:created>
  <dc:creator>openpyxl</dc:creator>
  <dc:description/>
  <dc:language>en-US</dc:language>
  <cp:lastModifiedBy/>
  <dcterms:modified xsi:type="dcterms:W3CDTF">2026-07-13T20:24:59Z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